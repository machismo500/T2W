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f Accounts" sheetId="1" r:id="rId5"/>
    <sheet state="visible" name="March 26" sheetId="2" r:id="rId6"/>
    <sheet state="visible" name="Feb 26" sheetId="3" r:id="rId7"/>
    <sheet state="visible" name="Jan 26" sheetId="4" r:id="rId8"/>
    <sheet state="visible" name="Dec 25" sheetId="5" r:id="rId9"/>
    <sheet state="visible" name="Nov 25" sheetId="6" r:id="rId10"/>
    <sheet state="visible" name="Oct 25" sheetId="7" r:id="rId11"/>
    <sheet state="visible" name="Sept 25" sheetId="8" r:id="rId12"/>
    <sheet state="visible" name="August 25" sheetId="9" r:id="rId13"/>
    <sheet state="visible" name="July 25" sheetId="10" r:id="rId14"/>
    <sheet state="visible" name="June 25" sheetId="11" r:id="rId15"/>
    <sheet state="visible" name="Nepal Tales" sheetId="12" r:id="rId16"/>
    <sheet state="visible" name="May 25" sheetId="13" r:id="rId17"/>
    <sheet state="visible" name="April 25" sheetId="14" r:id="rId18"/>
    <sheet state="visible" name="March 25" sheetId="15" r:id="rId19"/>
    <sheet state="visible" name="Feb 25" sheetId="16" r:id="rId20"/>
    <sheet state="visible" name="Jan 25" sheetId="17" r:id="rId21"/>
    <sheet state="visible" name="Dec 24" sheetId="18" r:id="rId22"/>
    <sheet state="visible" name="Nov 24" sheetId="19" r:id="rId23"/>
    <sheet state="visible" name="Oct 24" sheetId="20" r:id="rId24"/>
    <sheet state="visible" name="Sept 24" sheetId="21" r:id="rId25"/>
    <sheet state="visible" name="Aug 24" sheetId="22" r:id="rId26"/>
    <sheet state="visible" name="July 24" sheetId="23" r:id="rId27"/>
    <sheet state="visible" name="June 24" sheetId="24" r:id="rId28"/>
    <sheet state="visible" name="Himalayan Tales 24" sheetId="25" r:id="rId29"/>
    <sheet state="visible" name="May 24" sheetId="26" r:id="rId30"/>
    <sheet state="visible" name="Apr 24" sheetId="27" r:id="rId31"/>
    <sheet state="visible" name="Mar 24" sheetId="28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1. Chicken Khebab - Rs 650 x 4 = 2400
2. Gobi Manchurian - Rs 175 x 3 = 525
3. Onion Pakoda - Rs 175 x 3 = 525
4. Green Salads - Rs 100 x 3 = 300
5. Boiled Eggs - Rs 20 x 25 = 500
Total - Rs.4250</t>
      </text>
    </comment>
  </commentList>
</comments>
</file>

<file path=xl/sharedStrings.xml><?xml version="1.0" encoding="utf-8"?>
<sst xmlns="http://schemas.openxmlformats.org/spreadsheetml/2006/main" count="2044" uniqueCount="622">
  <si>
    <t>Date</t>
  </si>
  <si>
    <t>Expense Summary</t>
  </si>
  <si>
    <t>Debit</t>
  </si>
  <si>
    <t>Credit</t>
  </si>
  <si>
    <t>Net</t>
  </si>
  <si>
    <t>Person</t>
  </si>
  <si>
    <t>Comments</t>
  </si>
  <si>
    <t>Old Balances (As on 1-Mar-24)</t>
  </si>
  <si>
    <t>Pranav</t>
  </si>
  <si>
    <t>From Old Rides</t>
  </si>
  <si>
    <t>Thiru</t>
  </si>
  <si>
    <t>Roshan Manuel</t>
  </si>
  <si>
    <t>Suren</t>
  </si>
  <si>
    <t xml:space="preserve">Advance for Mar '24 Ride </t>
  </si>
  <si>
    <t>Balance Post Mar '24 Ride</t>
  </si>
  <si>
    <t>Sanjeev</t>
  </si>
  <si>
    <t>Additional cost of "The Beginning" Tees</t>
  </si>
  <si>
    <t>Advace for April '24 Ride</t>
  </si>
  <si>
    <t>Balance post April '24 Ride</t>
  </si>
  <si>
    <t>Banner Cost</t>
  </si>
  <si>
    <t>Advance for May '24 Ride</t>
  </si>
  <si>
    <t>Balance post May '24 Ride</t>
  </si>
  <si>
    <t>Balance Post Himalayan Tales '24 Ride</t>
  </si>
  <si>
    <t>Advance for Jun '24 Ride</t>
  </si>
  <si>
    <t>Balance Post Jun '24 Ride</t>
  </si>
  <si>
    <t>Advance for Jul '24 Ride</t>
  </si>
  <si>
    <t>Balance Post Jul '24 Ride</t>
  </si>
  <si>
    <t>Suren's Balance transferred to Roshan</t>
  </si>
  <si>
    <t>Thiru's Balance transferred to Roshan</t>
  </si>
  <si>
    <t>Roshan recieved 13180 from Suren</t>
  </si>
  <si>
    <t>Roshan recieved 23841 from Thiru</t>
  </si>
  <si>
    <t>Advance for Aug '24 Ride</t>
  </si>
  <si>
    <t>Balance Post Aug '24 Ride</t>
  </si>
  <si>
    <t>advance for Sept '24 Ride</t>
  </si>
  <si>
    <t>Donation to Imran on Behalf of T2W</t>
  </si>
  <si>
    <t>Balance Post Sept '24 Ride</t>
  </si>
  <si>
    <t>Jay Trivedi</t>
  </si>
  <si>
    <t>Advance for Oct '24 Ride</t>
  </si>
  <si>
    <t>Balance Post Oct '24 Ride</t>
  </si>
  <si>
    <t>Sandeep</t>
  </si>
  <si>
    <t>Advance for Nov '24 Ride</t>
  </si>
  <si>
    <t>Advance for Jan '25 Ride</t>
  </si>
  <si>
    <t>Balance Post Nov '24 Ride</t>
  </si>
  <si>
    <t>Thiru's Balance transferred to Pranav</t>
  </si>
  <si>
    <t>Pranav received 8000 from Thiru</t>
  </si>
  <si>
    <t>Advance for Dec '24 Ride</t>
  </si>
  <si>
    <t>Balance Post Dec '24 Ride</t>
  </si>
  <si>
    <t>Devaraju</t>
  </si>
  <si>
    <t>Balance Post Jan '25 Ride</t>
  </si>
  <si>
    <t>Sapna Maria</t>
  </si>
  <si>
    <t>Advance for Feb '25 Ride</t>
  </si>
  <si>
    <t>Balance Post Feb '25 Ride</t>
  </si>
  <si>
    <t>Harish Mysuru</t>
  </si>
  <si>
    <t>Advance for March '25 Ride</t>
  </si>
  <si>
    <t>Purchase Domain and email id</t>
  </si>
  <si>
    <t>Donation : Advance for Plate holder for deaf and dumb institute</t>
  </si>
  <si>
    <t>Sandeep's Transferred to Roshan</t>
  </si>
  <si>
    <t>Roshan recieved 7900 from Sandeep</t>
  </si>
  <si>
    <t>Month</t>
  </si>
  <si>
    <t>Accounts</t>
  </si>
  <si>
    <t>Pranav received 151 from Roshan</t>
  </si>
  <si>
    <t>Mar '24</t>
  </si>
  <si>
    <t>Roshan Paid 151 due from T2W to Pranav</t>
  </si>
  <si>
    <t>Apr '24</t>
  </si>
  <si>
    <t>Balance post March '25 Ride</t>
  </si>
  <si>
    <t>May '24</t>
  </si>
  <si>
    <t>Donation : Transportation Cost</t>
  </si>
  <si>
    <t>Himalayan Tales</t>
  </si>
  <si>
    <t>Donation : Pending Payment for Plate Holder</t>
  </si>
  <si>
    <t>Jun '24</t>
  </si>
  <si>
    <t>Donation : Don paid for sweets</t>
  </si>
  <si>
    <t>Jul '24</t>
  </si>
  <si>
    <t>Advance for April '25 Ride</t>
  </si>
  <si>
    <t>Aug '24</t>
  </si>
  <si>
    <t>Balance post April '25 Ride</t>
  </si>
  <si>
    <t>Sep '24</t>
  </si>
  <si>
    <t>Balance post May '25 Ride</t>
  </si>
  <si>
    <t>Oct '24</t>
  </si>
  <si>
    <t>Advance for June '25 Ride</t>
  </si>
  <si>
    <t>Nov '24</t>
  </si>
  <si>
    <t>Balance post June '25 Ride</t>
  </si>
  <si>
    <t>Dec '24</t>
  </si>
  <si>
    <t>Advance for July '25 Ride</t>
  </si>
  <si>
    <t>Jan '25</t>
  </si>
  <si>
    <t>Advance for Sept '25 Ride</t>
  </si>
  <si>
    <t>Feb '25</t>
  </si>
  <si>
    <t>Balance post July '25 Ride</t>
  </si>
  <si>
    <t>Mar '25</t>
  </si>
  <si>
    <t>Advance for Aug '25 Ride</t>
  </si>
  <si>
    <t>Shreyas</t>
  </si>
  <si>
    <t>Apr '25</t>
  </si>
  <si>
    <t>Balance post August '25 Ride</t>
  </si>
  <si>
    <t>May '25</t>
  </si>
  <si>
    <t>Balance post Sept '25 Ride</t>
  </si>
  <si>
    <t>Balances</t>
  </si>
  <si>
    <t>Nepal Tales</t>
  </si>
  <si>
    <t>Advance for Oct '25 Ride</t>
  </si>
  <si>
    <t>Abhijitt</t>
  </si>
  <si>
    <t>June '25</t>
  </si>
  <si>
    <t>Advance for Jan '26 Ride</t>
  </si>
  <si>
    <t>July '25</t>
  </si>
  <si>
    <t xml:space="preserve">Roshan Paid 5000 to Abhijit </t>
  </si>
  <si>
    <t>Aug '25</t>
  </si>
  <si>
    <t>Abhijitt Recived 5000 from Roshan</t>
  </si>
  <si>
    <t>Sept '25</t>
  </si>
  <si>
    <t>Balance post Oct '25 Ride</t>
  </si>
  <si>
    <t>Oct '25</t>
  </si>
  <si>
    <t>Advance for Nov '25 Ride</t>
  </si>
  <si>
    <t>Nov '25</t>
  </si>
  <si>
    <t>Balace post Nov'25 Ride</t>
  </si>
  <si>
    <t>Dec '25</t>
  </si>
  <si>
    <t>Bharat</t>
  </si>
  <si>
    <t>Advance for Dec '25 Ride</t>
  </si>
  <si>
    <t>Jan '26</t>
  </si>
  <si>
    <t>Balace post Dec'25 Ride</t>
  </si>
  <si>
    <t>Feb '26</t>
  </si>
  <si>
    <t>Advance for March '26 Ride</t>
  </si>
  <si>
    <t>Balance post Jan'26 Ride</t>
  </si>
  <si>
    <t>Advance for Feb '26 Ride</t>
  </si>
  <si>
    <t>Total</t>
  </si>
  <si>
    <t>Balance post Feb'26 Ride</t>
  </si>
  <si>
    <t>#028 - Anniversary Ride</t>
  </si>
  <si>
    <t>Location</t>
  </si>
  <si>
    <t>Divine Valley</t>
  </si>
  <si>
    <t>Rider Details</t>
  </si>
  <si>
    <t>Expense Details</t>
  </si>
  <si>
    <t>S.No</t>
  </si>
  <si>
    <t>Rider name</t>
  </si>
  <si>
    <t>Fees</t>
  </si>
  <si>
    <t>Expense</t>
  </si>
  <si>
    <t>Amount</t>
  </si>
  <si>
    <t>Advance for Stay</t>
  </si>
  <si>
    <t>Paid by Devaraju</t>
  </si>
  <si>
    <t>TShirt Cost</t>
  </si>
  <si>
    <t>Paid by Roshan</t>
  </si>
  <si>
    <t>Imran's Fees</t>
  </si>
  <si>
    <t>Stay Balance Payment</t>
  </si>
  <si>
    <t>DJ Fees</t>
  </si>
  <si>
    <t>Cake</t>
  </si>
  <si>
    <t>Breakfast</t>
  </si>
  <si>
    <t>Beverage</t>
  </si>
  <si>
    <r>
      <rPr>
        <rFont val="Calibri"/>
        <color rgb="FF000000"/>
        <sz val="11.0"/>
      </rPr>
      <t xml:space="preserve">KP </t>
    </r>
    <r>
      <rPr>
        <rFont val="Calibri"/>
        <color rgb="FF000000"/>
        <sz val="9.0"/>
      </rPr>
      <t>(1100 = 500 + 540 (TShirt) + 60 (Sticker))</t>
    </r>
  </si>
  <si>
    <t>1100 = 500 + 540 (TShirt) + 60 (Sticker)</t>
  </si>
  <si>
    <t>Aditi</t>
  </si>
  <si>
    <t>Tripti</t>
  </si>
  <si>
    <t>Vasudev</t>
  </si>
  <si>
    <t>Subodh Bhat</t>
  </si>
  <si>
    <t>Stickers</t>
  </si>
  <si>
    <t>Total Ride Cost</t>
  </si>
  <si>
    <t>Ride Cost</t>
  </si>
  <si>
    <t>Tshirt</t>
  </si>
  <si>
    <t>Imran</t>
  </si>
  <si>
    <t>Beer</t>
  </si>
  <si>
    <t>DJ</t>
  </si>
  <si>
    <t xml:space="preserve">Photographer </t>
  </si>
  <si>
    <t>Dholak</t>
  </si>
  <si>
    <t>Snacks</t>
  </si>
  <si>
    <t>Balance from Ride</t>
  </si>
  <si>
    <t>Advance paid by Devaraju</t>
  </si>
  <si>
    <t>Actual Balance with Roshan</t>
  </si>
  <si>
    <t>Column 1</t>
  </si>
  <si>
    <t>Column 2</t>
  </si>
  <si>
    <t>Column 3</t>
  </si>
  <si>
    <t>Rider Cost</t>
  </si>
  <si>
    <t>T2W Cost</t>
  </si>
  <si>
    <t>Stay</t>
  </si>
  <si>
    <t>Water Filter 2</t>
  </si>
  <si>
    <t>water dispenser (hot &amp; cold)</t>
  </si>
  <si>
    <t>Hoodie 8</t>
  </si>
  <si>
    <t>T2W</t>
  </si>
  <si>
    <t>Chair / Desk</t>
  </si>
  <si>
    <t>Goodies</t>
  </si>
  <si>
    <t>Photography</t>
  </si>
  <si>
    <t>#027 - Ride to Kavvayi Island</t>
  </si>
  <si>
    <t>Rama Resort Agonda</t>
  </si>
  <si>
    <t>Stay Advance</t>
  </si>
  <si>
    <t>Paid by Sapna</t>
  </si>
  <si>
    <t>Dr Raghunath H</t>
  </si>
  <si>
    <t>Stay Balance</t>
  </si>
  <si>
    <t>Shreyas BM</t>
  </si>
  <si>
    <t>Refund to Harish Mysuru</t>
  </si>
  <si>
    <t>Refund to Esha Sunil Bharadwaj</t>
  </si>
  <si>
    <t>Pranav Himanshu</t>
  </si>
  <si>
    <t>Refund to Bharath</t>
  </si>
  <si>
    <t>Anantha Nag</t>
  </si>
  <si>
    <t>Refund to Varusa Routhar</t>
  </si>
  <si>
    <t>Rama Prasad</t>
  </si>
  <si>
    <t>Refund to Rafique Mohideen Rautar</t>
  </si>
  <si>
    <t>Kiran Kumar</t>
  </si>
  <si>
    <t>Nagarjun B R</t>
  </si>
  <si>
    <t>Dharniraj</t>
  </si>
  <si>
    <t>Satish Anchi</t>
  </si>
  <si>
    <t>PRASHANTH B K</t>
  </si>
  <si>
    <t>Shankar VK</t>
  </si>
  <si>
    <t>Hemanth Satyanarayana</t>
  </si>
  <si>
    <t>Extra-bed</t>
  </si>
  <si>
    <t>Srinagesh Pandala</t>
  </si>
  <si>
    <t>Abhishek Chatterjee</t>
  </si>
  <si>
    <t>Saswata Mohanty</t>
  </si>
  <si>
    <t>Dr. Darshan</t>
  </si>
  <si>
    <t xml:space="preserve">Harish Mysuru </t>
  </si>
  <si>
    <t>Dropped Out</t>
  </si>
  <si>
    <t>Esha Sunil Bharadwaj</t>
  </si>
  <si>
    <t>Bharath Ramaiah</t>
  </si>
  <si>
    <t>Varusa Routhar</t>
  </si>
  <si>
    <t>Rafique Mohideen Rautar</t>
  </si>
  <si>
    <t>Advance paid by Sapna</t>
  </si>
  <si>
    <t>#026 - Ride to Coast - 10</t>
  </si>
  <si>
    <t>Dr Raghunath</t>
  </si>
  <si>
    <t>Stay Balance Extra</t>
  </si>
  <si>
    <t>Due to Last min dropout, to be charged between Harish CS and Kiran</t>
  </si>
  <si>
    <t>T-Shirt Cost (450*27)</t>
  </si>
  <si>
    <t>Imran Payment</t>
  </si>
  <si>
    <t>Refund to Karthikeyan (6800-(450+500))</t>
  </si>
  <si>
    <t>Refund to Deepak K (6800-(450+500))</t>
  </si>
  <si>
    <t>Refund to Kiran (6800-(450+500+2000))</t>
  </si>
  <si>
    <t>Refund to Harish CS (6800-(450+500+2000))</t>
  </si>
  <si>
    <t>Sudhakar r</t>
  </si>
  <si>
    <t>Abhay S</t>
  </si>
  <si>
    <t>Ramakashi</t>
  </si>
  <si>
    <t>Krishnaprasad Gaonkar</t>
  </si>
  <si>
    <t>Gayathri Balaji</t>
  </si>
  <si>
    <t>Esha Bharadwaj</t>
  </si>
  <si>
    <t>Poonam Navale</t>
  </si>
  <si>
    <t>Anusha</t>
  </si>
  <si>
    <t>Swarbendu Dasrajak</t>
  </si>
  <si>
    <t>Karthikeyan</t>
  </si>
  <si>
    <t>DEEPAK KANAKARAJU</t>
  </si>
  <si>
    <t>Kiran</t>
  </si>
  <si>
    <t>Harish C S</t>
  </si>
  <si>
    <t>Advance paid by Roshan</t>
  </si>
  <si>
    <t>Actual Balance with Devaraju</t>
  </si>
  <si>
    <t>#025 - Ride to Woods</t>
  </si>
  <si>
    <t>Peace Valley Resorts</t>
  </si>
  <si>
    <t>Paid by Bharat</t>
  </si>
  <si>
    <t>Tea</t>
  </si>
  <si>
    <t>SHREYAS BM</t>
  </si>
  <si>
    <t>Stay Pending Payment</t>
  </si>
  <si>
    <t>Raghunath H</t>
  </si>
  <si>
    <t>Refund to Prashanth BK</t>
  </si>
  <si>
    <t>Anantha Nag M S</t>
  </si>
  <si>
    <t>Satish Kumar</t>
  </si>
  <si>
    <t>Hemanth</t>
  </si>
  <si>
    <t>Esha</t>
  </si>
  <si>
    <t>Sanjeev Kumar</t>
  </si>
  <si>
    <t>Balaji</t>
  </si>
  <si>
    <t>DEVARAJU</t>
  </si>
  <si>
    <t>Pradeep K</t>
  </si>
  <si>
    <t>Sujith Shetty</t>
  </si>
  <si>
    <t>Actual Balance with Bharat</t>
  </si>
  <si>
    <t>#024 - Ride to Peak</t>
  </si>
  <si>
    <t>Paid by Shreyas</t>
  </si>
  <si>
    <t>Second Advance Payment</t>
  </si>
  <si>
    <t>Abhishek Sen</t>
  </si>
  <si>
    <t>Garvit K Rai</t>
  </si>
  <si>
    <t>Food Payment</t>
  </si>
  <si>
    <t>yetika vats</t>
  </si>
  <si>
    <t>Refund to Abhay Rao</t>
  </si>
  <si>
    <t>Refund to Naman Saraf</t>
  </si>
  <si>
    <t>Umakanth</t>
  </si>
  <si>
    <t>Reshma Manuel</t>
  </si>
  <si>
    <t>Dipankar Nath</t>
  </si>
  <si>
    <t>Did not Pay/Dropped Out</t>
  </si>
  <si>
    <t>Abhay Rao</t>
  </si>
  <si>
    <t>Naman Saraf</t>
  </si>
  <si>
    <t>Advance paid by Shreyas</t>
  </si>
  <si>
    <t>#022 - Ride to Rivers Edge</t>
  </si>
  <si>
    <t>Paid by Abhijitt(Roshan)</t>
  </si>
  <si>
    <t>Food Advance Payment</t>
  </si>
  <si>
    <t>deva raju</t>
  </si>
  <si>
    <t>Including Auto</t>
  </si>
  <si>
    <t>Refund to Dharni</t>
  </si>
  <si>
    <t>Refund to Srinagesh Pandala</t>
  </si>
  <si>
    <t>Refund to Sudhakar R</t>
  </si>
  <si>
    <t>Abhijitt Murugan</t>
  </si>
  <si>
    <t>Refund to Bharat R</t>
  </si>
  <si>
    <t>Tejas BS</t>
  </si>
  <si>
    <t>Abhay Sirigeri</t>
  </si>
  <si>
    <t>Vishwanath</t>
  </si>
  <si>
    <t>Sai Kiran</t>
  </si>
  <si>
    <t>Kiran Dikshit</t>
  </si>
  <si>
    <t>DEEPAK K</t>
  </si>
  <si>
    <t>Sukesh TM</t>
  </si>
  <si>
    <t>Dharni</t>
  </si>
  <si>
    <t>Bharath R</t>
  </si>
  <si>
    <t>Advance paid by Abhijitt(Roshan)</t>
  </si>
  <si>
    <t>Actual Balance with Shreyas</t>
  </si>
  <si>
    <t>#021 - Kudremukha Adventures</t>
  </si>
  <si>
    <t xml:space="preserve">Roshan </t>
  </si>
  <si>
    <t>Stay Remaining Payment</t>
  </si>
  <si>
    <t>Dharniraj Sathyanarayana</t>
  </si>
  <si>
    <t>Abhay MS</t>
  </si>
  <si>
    <t xml:space="preserve">Abhijitt Murugan </t>
  </si>
  <si>
    <t>Refund to Anant Nag</t>
  </si>
  <si>
    <t>Refund to Rajnish</t>
  </si>
  <si>
    <t>Ramaprasad</t>
  </si>
  <si>
    <t>Refund to Deepak</t>
  </si>
  <si>
    <t>Refund to Dipankar</t>
  </si>
  <si>
    <t>Refund to Aditya</t>
  </si>
  <si>
    <t>Refund to Sreenivas</t>
  </si>
  <si>
    <t>Varusa</t>
  </si>
  <si>
    <t>Tejas</t>
  </si>
  <si>
    <t>Rakshith k</t>
  </si>
  <si>
    <t>Honnesh P</t>
  </si>
  <si>
    <t>Shubham Biswas</t>
  </si>
  <si>
    <t>Sachin K G</t>
  </si>
  <si>
    <t>Rajnish Jaiswal</t>
  </si>
  <si>
    <t>Aditya Zutshi</t>
  </si>
  <si>
    <t>Sreenivas</t>
  </si>
  <si>
    <t>#020 - Dandeli Tales</t>
  </si>
  <si>
    <t>Couple Cottage</t>
  </si>
  <si>
    <t>Breakfast - Day 1</t>
  </si>
  <si>
    <t>Breakfast - Day 2</t>
  </si>
  <si>
    <t>Imran's Payment</t>
  </si>
  <si>
    <t>Refund to Praveen Kumar Achutha</t>
  </si>
  <si>
    <t>Refund to Deepak K</t>
  </si>
  <si>
    <t xml:space="preserve">Ashwin kumar </t>
  </si>
  <si>
    <t>Refund to Abhay</t>
  </si>
  <si>
    <t>Chandan Gowda C L</t>
  </si>
  <si>
    <t xml:space="preserve">Aditya Zutshi </t>
  </si>
  <si>
    <t>Anand HS</t>
  </si>
  <si>
    <t>Yogita ashwin</t>
  </si>
  <si>
    <t>Sushma B</t>
  </si>
  <si>
    <t xml:space="preserve">Binoy George </t>
  </si>
  <si>
    <t xml:space="preserve">Srinagesh Pandala </t>
  </si>
  <si>
    <t xml:space="preserve">Hemanth Satyanarayana </t>
  </si>
  <si>
    <t xml:space="preserve">Sukesh </t>
  </si>
  <si>
    <t xml:space="preserve">Ramakashi T S </t>
  </si>
  <si>
    <t xml:space="preserve">Abhay MS </t>
  </si>
  <si>
    <t>Praveen Kumar Achutha</t>
  </si>
  <si>
    <t>Actual Balance with Sapna</t>
  </si>
  <si>
    <t>#019 - Ride to Harangi</t>
  </si>
  <si>
    <t>Paid by Jay</t>
  </si>
  <si>
    <t>Refund to Shyam Tiwari</t>
  </si>
  <si>
    <t>Sudhakar.r</t>
  </si>
  <si>
    <t>Vasudev B S</t>
  </si>
  <si>
    <t>Vinod Kiran Kare</t>
  </si>
  <si>
    <t>Deepak Kanakaraju</t>
  </si>
  <si>
    <t>Nagarjun</t>
  </si>
  <si>
    <t>abhay MS</t>
  </si>
  <si>
    <t>G.Shivasankar</t>
  </si>
  <si>
    <t>Vishal Srivastava</t>
  </si>
  <si>
    <t>Shyam Tiwari</t>
  </si>
  <si>
    <t>Actual Balance with Jay</t>
  </si>
  <si>
    <t>#018 - Monsoon Tales</t>
  </si>
  <si>
    <t>Food Bill</t>
  </si>
  <si>
    <t xml:space="preserve">Anantha Nag </t>
  </si>
  <si>
    <t>Refund to Dharaniraj</t>
  </si>
  <si>
    <t>Refund to Kiran</t>
  </si>
  <si>
    <t>Refund to Deepak Kanakaraju</t>
  </si>
  <si>
    <t>Abhishek R</t>
  </si>
  <si>
    <t>Chandan Gowda</t>
  </si>
  <si>
    <t xml:space="preserve">Bharath </t>
  </si>
  <si>
    <t xml:space="preserve">Vinod Kiran Kare </t>
  </si>
  <si>
    <t xml:space="preserve">Ugender Sathyendranath </t>
  </si>
  <si>
    <t xml:space="preserve">Abhay </t>
  </si>
  <si>
    <t>Anupam Chand</t>
  </si>
  <si>
    <t xml:space="preserve">Dharniraj </t>
  </si>
  <si>
    <t>DEEPAK Kanakaraju</t>
  </si>
  <si>
    <t>#016 - Nepal Tales</t>
  </si>
  <si>
    <t>Stay Payment</t>
  </si>
  <si>
    <t>Paid by Harish Mysuru</t>
  </si>
  <si>
    <t>Refund to Dharani</t>
  </si>
  <si>
    <t>Refund to Ananth</t>
  </si>
  <si>
    <t xml:space="preserve">Bharath R </t>
  </si>
  <si>
    <t>Refund to Nagarjun</t>
  </si>
  <si>
    <t>Refund to Sasi</t>
  </si>
  <si>
    <t xml:space="preserve">Hemanth </t>
  </si>
  <si>
    <t>Jeyadev N</t>
  </si>
  <si>
    <t xml:space="preserve">Varusa Routhar </t>
  </si>
  <si>
    <t>DHARNIRAJ</t>
  </si>
  <si>
    <t>Sasi Kumar</t>
  </si>
  <si>
    <t>Advance paid by Harish Mysuru</t>
  </si>
  <si>
    <t>Actual Balance with Harish Mysuru</t>
  </si>
  <si>
    <t>#017 - Ride to Nature's Nest</t>
  </si>
  <si>
    <t>#015 - Jungle Ride</t>
  </si>
  <si>
    <t>Paid by Jay Trivedi</t>
  </si>
  <si>
    <t>Dharniraj satyanarayana</t>
  </si>
  <si>
    <t>Refund to Roshan</t>
  </si>
  <si>
    <t>Refund to Sapna</t>
  </si>
  <si>
    <t>Refund to Abhijit Murugan</t>
  </si>
  <si>
    <t>Refund to Sahil</t>
  </si>
  <si>
    <t>Srinagesh</t>
  </si>
  <si>
    <t xml:space="preserve">Imran Pasha </t>
  </si>
  <si>
    <t>Sahil Rais</t>
  </si>
  <si>
    <t>Actual Balance with Jay Trivedi</t>
  </si>
  <si>
    <t>#014 - Anniversary Ride</t>
  </si>
  <si>
    <t>Anantha Nag M s</t>
  </si>
  <si>
    <t>Sanjay Ganesh</t>
  </si>
  <si>
    <t>DHARNIRAJ SATHYANARAYANA</t>
  </si>
  <si>
    <r>
      <rPr>
        <rFont val="Calibri"/>
        <color rgb="FF000000"/>
        <sz val="11.0"/>
      </rPr>
      <t xml:space="preserve">KP </t>
    </r>
    <r>
      <rPr>
        <rFont val="Calibri"/>
        <color rgb="FF000000"/>
        <sz val="9.0"/>
      </rPr>
      <t>(1100 = 500 + 540 (TShirt) + 60 (Sticker))</t>
    </r>
  </si>
  <si>
    <t>Sudhakar R</t>
  </si>
  <si>
    <t>MJ</t>
  </si>
  <si>
    <t>Sandeep sahoo</t>
  </si>
  <si>
    <t>Ramakashi T S</t>
  </si>
  <si>
    <t>Arvind v</t>
  </si>
  <si>
    <t>Karthik</t>
  </si>
  <si>
    <t>Vijay Natarajan</t>
  </si>
  <si>
    <t>Srinivas prasad</t>
  </si>
  <si>
    <t>Shivam</t>
  </si>
  <si>
    <t>Mandeep Singh</t>
  </si>
  <si>
    <t>Avinash shetty</t>
  </si>
  <si>
    <t>Vinay Devaraj</t>
  </si>
  <si>
    <t>Karthik V</t>
  </si>
  <si>
    <t>Sharath C S</t>
  </si>
  <si>
    <t>Sandeep Mathi</t>
  </si>
  <si>
    <t>Shyam</t>
  </si>
  <si>
    <t>Kiran Kumar B</t>
  </si>
  <si>
    <t>Asha L</t>
  </si>
  <si>
    <t>Sampath Kannanth</t>
  </si>
  <si>
    <t>VinayKumar</t>
  </si>
  <si>
    <t>Neena VinayKumar</t>
  </si>
  <si>
    <t>KP</t>
  </si>
  <si>
    <t>#013 - Kambala 3.0</t>
  </si>
  <si>
    <t>Payment to Imran</t>
  </si>
  <si>
    <t>Refund to Sujith Shetty</t>
  </si>
  <si>
    <t>Refund to Kiran Kumar</t>
  </si>
  <si>
    <t>Refund to Satish Anchi</t>
  </si>
  <si>
    <t>Refund to Saswata Mohaty</t>
  </si>
  <si>
    <t>Refund to Majunatha</t>
  </si>
  <si>
    <t xml:space="preserve">Krishnaprasad Gaonkar </t>
  </si>
  <si>
    <t xml:space="preserve">Aditi Gaonkar </t>
  </si>
  <si>
    <t>Manjunatha</t>
  </si>
  <si>
    <t>#012 - Ride to Coast 9</t>
  </si>
  <si>
    <t>Paid by Pranav</t>
  </si>
  <si>
    <t>20 x 400 = 8000</t>
  </si>
  <si>
    <t>Including Imran's TShirt</t>
  </si>
  <si>
    <t>Refund to Vinay (4000 + 400)</t>
  </si>
  <si>
    <t>Refund to Abhijit (4000 + 400)</t>
  </si>
  <si>
    <t>Refund to Abhay (4000 + 400)</t>
  </si>
  <si>
    <t xml:space="preserve">Abhishek Sen </t>
  </si>
  <si>
    <t xml:space="preserve">Rajnish Jaiswal </t>
  </si>
  <si>
    <t>Shalini Jaiswal</t>
  </si>
  <si>
    <t xml:space="preserve">Vinay Devaraj </t>
  </si>
  <si>
    <t>Abhay</t>
  </si>
  <si>
    <t>Advance paid by Pranav</t>
  </si>
  <si>
    <t>#011 - Wheels By The Waves</t>
  </si>
  <si>
    <t>Refund to Harish C S</t>
  </si>
  <si>
    <t>Refund to Dharnniraj</t>
  </si>
  <si>
    <t>Refund to Honnesh</t>
  </si>
  <si>
    <t>Refund to Jay</t>
  </si>
  <si>
    <t xml:space="preserve">Sreenivas Murthy </t>
  </si>
  <si>
    <t>Ram Karan D</t>
  </si>
  <si>
    <t>Pratik Parashar</t>
  </si>
  <si>
    <t>Pratious Rekhansh</t>
  </si>
  <si>
    <t>Arjun S</t>
  </si>
  <si>
    <t xml:space="preserve">Garvit Kumar Rai </t>
  </si>
  <si>
    <t>Sudhansh Sharma</t>
  </si>
  <si>
    <t>Rajnish</t>
  </si>
  <si>
    <t>Vrisan(Rajnish's Son)</t>
  </si>
  <si>
    <t>Abhijit</t>
  </si>
  <si>
    <t xml:space="preserve">Abhay Sirigeri </t>
  </si>
  <si>
    <t/>
  </si>
  <si>
    <t>#010 - Ride to East Coast - 2.0</t>
  </si>
  <si>
    <t>Paid by Sandeep</t>
  </si>
  <si>
    <t>- Rs.2500 x 20 = 50000</t>
  </si>
  <si>
    <t>Got 2k discount for bunk beds</t>
  </si>
  <si>
    <t>Shankar  VK</t>
  </si>
  <si>
    <t>Devaraju S</t>
  </si>
  <si>
    <t>Rohith channalli</t>
  </si>
  <si>
    <t>Nagarjun BR</t>
  </si>
  <si>
    <t>Advance paid by Sandeep</t>
  </si>
  <si>
    <t>#009 - Tales in Wilderness</t>
  </si>
  <si>
    <t>- Rs.2250 x 31 = 69750</t>
  </si>
  <si>
    <t>Starters</t>
  </si>
  <si>
    <t xml:space="preserve">Sanjeev Kumar </t>
  </si>
  <si>
    <t xml:space="preserve">Apurva Srivastava </t>
  </si>
  <si>
    <t>Chandrashekar V L</t>
  </si>
  <si>
    <t>Niraj Samal</t>
  </si>
  <si>
    <t>Nirmal Kumar</t>
  </si>
  <si>
    <t xml:space="preserve">Akshay Sharma </t>
  </si>
  <si>
    <t xml:space="preserve">Vishwanath </t>
  </si>
  <si>
    <t>Mahesh Venkataswamy</t>
  </si>
  <si>
    <t>Akash Kundapur</t>
  </si>
  <si>
    <t>Navratan Verma</t>
  </si>
  <si>
    <t xml:space="preserve">Anand Deenadayalu </t>
  </si>
  <si>
    <t>Hemanth Krishnamurthy</t>
  </si>
  <si>
    <t xml:space="preserve">Thanigaipathi Munirathnam </t>
  </si>
  <si>
    <t>Sangeeta tiwari</t>
  </si>
  <si>
    <t>Actual Balance with Sandeep</t>
  </si>
  <si>
    <t>#008 - Tales on Tadiyandamol Trails</t>
  </si>
  <si>
    <t>Kings Cottage Kakkabe</t>
  </si>
  <si>
    <t>9845963883/9480759630</t>
  </si>
  <si>
    <t xml:space="preserve">Jay Trivedi </t>
  </si>
  <si>
    <t>Dropped out</t>
  </si>
  <si>
    <t>- Rs.2200 x 20 = 44000</t>
  </si>
  <si>
    <t>Shanks VK</t>
  </si>
  <si>
    <t>Refund to Jay Trivedi</t>
  </si>
  <si>
    <t>- Rs.1500 x 5 = 7500</t>
  </si>
  <si>
    <t>Refund to MJ</t>
  </si>
  <si>
    <t>Sandee sahoo</t>
  </si>
  <si>
    <t xml:space="preserve">Harish </t>
  </si>
  <si>
    <t>Amruth</t>
  </si>
  <si>
    <t xml:space="preserve">Mandeep Singh </t>
  </si>
  <si>
    <t>Dr. Raghunath</t>
  </si>
  <si>
    <t>Uttam</t>
  </si>
  <si>
    <t>Sanjay Ganesh Jambagi</t>
  </si>
  <si>
    <t xml:space="preserve">Kiran Kumar </t>
  </si>
  <si>
    <t>Extra beds</t>
  </si>
  <si>
    <t>Manoj Kumar Bhonsle</t>
  </si>
  <si>
    <t>#007 - Heritage Ride</t>
  </si>
  <si>
    <t>White Sand Hampi</t>
  </si>
  <si>
    <t>Pillion MJ</t>
  </si>
  <si>
    <t>Abhishek S</t>
  </si>
  <si>
    <t>Shivasankar G</t>
  </si>
  <si>
    <t>#006 - Monsoon Sojourn</t>
  </si>
  <si>
    <t xml:space="preserve">Refund Krishnaprasad Gaonkar </t>
  </si>
  <si>
    <t>Refund Karthik V H</t>
  </si>
  <si>
    <t>Mj</t>
  </si>
  <si>
    <t>Starters and Non Veg Food</t>
  </si>
  <si>
    <t>Snacks (Non-Veg)</t>
  </si>
  <si>
    <t>29 Water bottles</t>
  </si>
  <si>
    <t>Stay Cost</t>
  </si>
  <si>
    <t>Chicken Khebab x 5</t>
  </si>
  <si>
    <t>Boiled Egg</t>
  </si>
  <si>
    <t>Green Salad x 4</t>
  </si>
  <si>
    <t>Paneer dry</t>
  </si>
  <si>
    <t>Main Course NV</t>
  </si>
  <si>
    <t>Gobi dry</t>
  </si>
  <si>
    <t>VIVEK PS</t>
  </si>
  <si>
    <t xml:space="preserve">Dharniraj Sathyanarayana </t>
  </si>
  <si>
    <t>Venu</t>
  </si>
  <si>
    <t>Karthik V H</t>
  </si>
  <si>
    <t>Main Course (Non-Veg)</t>
  </si>
  <si>
    <t>Chicken Masala</t>
  </si>
  <si>
    <t>Chicken Curry</t>
  </si>
  <si>
    <t>BHARATH RAMAIAH</t>
  </si>
  <si>
    <t>Dr. Raghunath H</t>
  </si>
  <si>
    <t>Reshma</t>
  </si>
  <si>
    <t>Karthik J P</t>
  </si>
  <si>
    <t>Actual Balance with Pranav</t>
  </si>
  <si>
    <t>#005 - Journey to Clouds</t>
  </si>
  <si>
    <t xml:space="preserve">Thirumalai </t>
  </si>
  <si>
    <t>Paid by Thiru</t>
  </si>
  <si>
    <t>Vishwanath P</t>
  </si>
  <si>
    <t>BreakFast</t>
  </si>
  <si>
    <t>Dropped</t>
  </si>
  <si>
    <t>Stay settlement</t>
  </si>
  <si>
    <t xml:space="preserve">Refund to Thirumalai </t>
  </si>
  <si>
    <t>Refund to Vishwanath P</t>
  </si>
  <si>
    <t>Refund to Shankar VK</t>
  </si>
  <si>
    <t>Niraj Kanti Samal</t>
  </si>
  <si>
    <t>Refund to Sandeep</t>
  </si>
  <si>
    <t>Vignesh</t>
  </si>
  <si>
    <t>Nidhi Dalal</t>
  </si>
  <si>
    <t>Om Vigneshwaran R</t>
  </si>
  <si>
    <t>Refund to Vignesh</t>
  </si>
  <si>
    <t>Abhishek</t>
  </si>
  <si>
    <t>Refund to Nidhi Dalal</t>
  </si>
  <si>
    <t>Aren Sukesh</t>
  </si>
  <si>
    <t>Refund to Om Vigneshwaran R</t>
  </si>
  <si>
    <t>Manjula</t>
  </si>
  <si>
    <t>Refund to deva raju</t>
  </si>
  <si>
    <t>Refund to Sukesh TM</t>
  </si>
  <si>
    <t>Refund to Abhishek</t>
  </si>
  <si>
    <t xml:space="preserve">Umakanth </t>
  </si>
  <si>
    <t>Refund to Aren Sukesh</t>
  </si>
  <si>
    <t>Refund to Manjula</t>
  </si>
  <si>
    <t>Refund to Pranav Himanshu</t>
  </si>
  <si>
    <t xml:space="preserve">Refund to Sanjeev Kumar </t>
  </si>
  <si>
    <t xml:space="preserve">Refund to Umakanth </t>
  </si>
  <si>
    <t>Advance paid by Thiru</t>
  </si>
  <si>
    <t>Actual Balance with Thiru</t>
  </si>
  <si>
    <t>#004 - Himalayan Tales</t>
  </si>
  <si>
    <t>Surendar P Velu</t>
  </si>
  <si>
    <t>Harish Kumar M R</t>
  </si>
  <si>
    <t xml:space="preserve">Gayathri Balaji </t>
  </si>
  <si>
    <t>#003 - Jungle Tales</t>
  </si>
  <si>
    <t>Advance</t>
  </si>
  <si>
    <t>Thirumalai M</t>
  </si>
  <si>
    <t>Refund to Praveen</t>
  </si>
  <si>
    <t>Refund to Vinod</t>
  </si>
  <si>
    <t>Refund to Sampath</t>
  </si>
  <si>
    <t>Refund to Vriddhi</t>
  </si>
  <si>
    <t>Refund to Manju</t>
  </si>
  <si>
    <t>Refund to Advita</t>
  </si>
  <si>
    <t>Vriddhi</t>
  </si>
  <si>
    <t>Refiund to Dharani</t>
  </si>
  <si>
    <t>Refiund to Satish</t>
  </si>
  <si>
    <t>Advita Prashanth</t>
  </si>
  <si>
    <t>Umakanth J</t>
  </si>
  <si>
    <t>Umar Faruque</t>
  </si>
  <si>
    <t>Sathish</t>
  </si>
  <si>
    <t>#002 - The Summer Break</t>
  </si>
  <si>
    <t>S. No</t>
  </si>
  <si>
    <t>Rider Name</t>
  </si>
  <si>
    <t>Paid by Suren</t>
  </si>
  <si>
    <t>Surendar Velu</t>
  </si>
  <si>
    <t>Stay Amount</t>
  </si>
  <si>
    <t xml:space="preserve">Shreyas </t>
  </si>
  <si>
    <t>Saturday Breakfast - 140 x 29</t>
  </si>
  <si>
    <t>To Imran</t>
  </si>
  <si>
    <t>Refund to Devaraju</t>
  </si>
  <si>
    <t>Refund to Nikhil</t>
  </si>
  <si>
    <t xml:space="preserve">Aditya ZUTSHI </t>
  </si>
  <si>
    <t>Refund to Suhas</t>
  </si>
  <si>
    <t>Refund to Nirmal Kumar</t>
  </si>
  <si>
    <t xml:space="preserve">S Deva Raju </t>
  </si>
  <si>
    <t>NAVEEN KUMAR S</t>
  </si>
  <si>
    <t>Nikhil Raul</t>
  </si>
  <si>
    <t>Suhas B S</t>
  </si>
  <si>
    <t>Karthik JP</t>
  </si>
  <si>
    <t>Nagarjuna</t>
  </si>
  <si>
    <t xml:space="preserve">Sandeep </t>
  </si>
  <si>
    <t>Nirmal Kumar R</t>
  </si>
  <si>
    <t>Brahmanandan K</t>
  </si>
  <si>
    <t xml:space="preserve">SANJAY SONU </t>
  </si>
  <si>
    <t>Advance paid by Suren</t>
  </si>
  <si>
    <t>#001 - The Beginning</t>
  </si>
  <si>
    <t>Paid by Sanjeev</t>
  </si>
  <si>
    <t>Extra Snacks</t>
  </si>
  <si>
    <t>Saturday Breakfast</t>
  </si>
  <si>
    <t xml:space="preserve">Paid by Suren (Transferred) </t>
  </si>
  <si>
    <t>Refund to Ramakashi</t>
  </si>
  <si>
    <t xml:space="preserve">Paid by Sanjeev </t>
  </si>
  <si>
    <t>Manjushree</t>
  </si>
  <si>
    <t xml:space="preserve">Sharon Padmanabhan </t>
  </si>
  <si>
    <t>Adith Kumar</t>
  </si>
  <si>
    <t>Sangeeta Tiwari</t>
  </si>
  <si>
    <t xml:space="preserve">Devaraju S </t>
  </si>
  <si>
    <t xml:space="preserve">DHARNIRAJ SATHYANARAYANA </t>
  </si>
  <si>
    <t>Actual Balance with Sanjeev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</si>
</sst>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\-mmm\-yy"/>
    <numFmt numFmtId="165" formatCode="dd\-mmm\-yyyy"/>
    <numFmt numFmtId="166" formatCode="d\-mmmm\-yyyy"/>
    <numFmt numFmtId="167" formatCode="d\-mmm\-yyyy"/>
    <numFmt numFmtId="168" formatCode="dd/mm/yyyy"/>
  </numFmts>
  <fonts count="31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b/>
      <sz val="14.0"/>
      <color rgb="FF980000"/>
      <name val="Arial"/>
    </font>
    <font>
      <u/>
      <sz val="10.0"/>
      <color rgb="FF0000FF"/>
      <name val="Calibri"/>
    </font>
    <font>
      <sz val="10.0"/>
      <color theme="1"/>
      <name val="Calibri"/>
    </font>
    <font>
      <b/>
      <sz val="11.0"/>
      <color rgb="FF1F1F1F"/>
      <name val="Calibri"/>
    </font>
    <font>
      <b/>
      <u/>
      <sz val="11.0"/>
      <color theme="0"/>
      <name val="Calibri"/>
    </font>
    <font>
      <b/>
      <sz val="11.0"/>
      <color theme="0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14.0"/>
      <color theme="1"/>
      <name val="Calibri"/>
    </font>
    <font>
      <sz val="11.0"/>
      <color rgb="FF434343"/>
      <name val="Calibri"/>
    </font>
    <font>
      <i/>
      <sz val="11.0"/>
      <color theme="1"/>
      <name val="Calibri"/>
    </font>
    <font>
      <color rgb="FF434343"/>
      <name val="Roboto"/>
    </font>
    <font>
      <strike/>
      <color rgb="FF434343"/>
      <name val="Roboto"/>
    </font>
    <font>
      <u/>
      <sz val="10.0"/>
      <color rgb="FF0000FF"/>
      <name val="Calibri"/>
    </font>
    <font>
      <strike/>
      <sz val="10.0"/>
      <color theme="1"/>
      <name val="Calibri"/>
    </font>
    <font>
      <b/>
      <sz val="10.0"/>
      <color rgb="FF1F1F1F"/>
      <name val="Arial"/>
    </font>
    <font>
      <b/>
      <u/>
      <sz val="10.0"/>
      <color theme="0"/>
      <name val="Arial"/>
    </font>
    <font>
      <b/>
      <sz val="10.0"/>
      <color theme="0"/>
      <name val="Arial"/>
    </font>
    <font>
      <sz val="10.0"/>
      <color rgb="FF000000"/>
      <name val="Arial"/>
    </font>
    <font>
      <b/>
      <sz val="14.0"/>
      <color theme="1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B45F06"/>
      <name val="Arial"/>
    </font>
  </fonts>
  <fills count="21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C27BA0"/>
        <bgColor rgb="FFC27BA0"/>
      </patternFill>
    </fill>
    <fill>
      <patternFill patternType="solid">
        <fgColor rgb="FF000000"/>
        <bgColor rgb="FF000000"/>
      </patternFill>
    </fill>
    <fill>
      <patternFill patternType="solid">
        <fgColor rgb="FF34A853"/>
        <bgColor rgb="FF34A853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theme="1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0" fillId="0" fontId="2" numFmtId="0" xfId="0" applyFont="1"/>
    <xf borderId="1" fillId="0" fontId="2" numFmtId="164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14" xfId="0" applyAlignment="1" applyBorder="1" applyFont="1" applyNumberFormat="1">
      <alignment horizontal="center" readingOrder="0"/>
    </xf>
    <xf borderId="0" fillId="0" fontId="1" numFmtId="0" xfId="0" applyFont="1"/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1" fillId="2" fontId="5" numFmtId="0" xfId="0" applyAlignment="1" applyBorder="1" applyFont="1">
      <alignment horizontal="right"/>
    </xf>
    <xf borderId="0" fillId="0" fontId="6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5" numFmtId="0" xfId="0" applyBorder="1" applyFont="1"/>
    <xf borderId="1" fillId="0" fontId="2" numFmtId="168" xfId="0" applyAlignment="1" applyBorder="1" applyFont="1" applyNumberFormat="1">
      <alignment horizontal="center" readingOrder="0"/>
    </xf>
    <xf borderId="1" fillId="4" fontId="3" numFmtId="0" xfId="0" applyBorder="1" applyFill="1" applyFont="1"/>
    <xf borderId="1" fillId="2" fontId="3" numFmtId="0" xfId="0" applyAlignment="1" applyBorder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2" fillId="3" fontId="8" numFmtId="0" xfId="0" applyAlignment="1" applyBorder="1" applyFont="1">
      <alignment horizontal="center" readingOrder="0"/>
    </xf>
    <xf borderId="4" fillId="0" fontId="4" numFmtId="0" xfId="0" applyBorder="1" applyFont="1"/>
    <xf borderId="0" fillId="0" fontId="9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0" numFmtId="0" xfId="0" applyAlignment="1" applyFont="1">
      <alignment horizontal="left" readingOrder="0" vertical="center"/>
    </xf>
    <xf borderId="2" fillId="5" fontId="11" numFmtId="0" xfId="0" applyAlignment="1" applyBorder="1" applyFill="1" applyFont="1">
      <alignment horizontal="center"/>
    </xf>
    <xf borderId="2" fillId="5" fontId="1" numFmtId="0" xfId="0" applyAlignment="1" applyBorder="1" applyFont="1">
      <alignment horizontal="center"/>
    </xf>
    <xf borderId="1" fillId="6" fontId="12" numFmtId="0" xfId="0" applyAlignment="1" applyBorder="1" applyFill="1" applyFont="1">
      <alignment horizontal="center"/>
    </xf>
    <xf borderId="1" fillId="6" fontId="13" numFmtId="0" xfId="0" applyAlignment="1" applyBorder="1" applyFont="1">
      <alignment horizontal="center"/>
    </xf>
    <xf borderId="1" fillId="7" fontId="5" numFmtId="0" xfId="0" applyAlignment="1" applyBorder="1" applyFill="1" applyFont="1">
      <alignment readingOrder="0" shrinkToFit="0" wrapText="0"/>
    </xf>
    <xf borderId="1" fillId="7" fontId="5" numFmtId="0" xfId="0" applyAlignment="1" applyBorder="1" applyFont="1">
      <alignment horizontal="center" readingOrder="0" shrinkToFit="0" wrapText="0"/>
    </xf>
    <xf borderId="1" fillId="7" fontId="5" numFmtId="0" xfId="0" applyAlignment="1" applyBorder="1" applyFont="1">
      <alignment horizontal="center" readingOrder="0" shrinkToFit="0" wrapText="0"/>
    </xf>
    <xf borderId="1" fillId="0" fontId="2" numFmtId="166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8" fontId="2" numFmtId="0" xfId="0" applyAlignment="1" applyBorder="1" applyFill="1" applyFont="1">
      <alignment readingOrder="0"/>
    </xf>
    <xf borderId="0" fillId="0" fontId="14" numFmtId="0" xfId="0" applyAlignment="1" applyFont="1">
      <alignment readingOrder="0"/>
    </xf>
    <xf borderId="1" fillId="9" fontId="5" numFmtId="0" xfId="0" applyAlignment="1" applyBorder="1" applyFill="1" applyFont="1">
      <alignment readingOrder="0" shrinkToFit="0" wrapText="0"/>
    </xf>
    <xf borderId="1" fillId="9" fontId="5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10" fontId="5" numFmtId="0" xfId="0" applyAlignment="1" applyBorder="1" applyFill="1" applyFont="1">
      <alignment readingOrder="0" shrinkToFit="0" wrapText="0"/>
    </xf>
    <xf borderId="0" fillId="0" fontId="15" numFmtId="0" xfId="0" applyFont="1"/>
    <xf borderId="0" fillId="0" fontId="14" numFmtId="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4" numFmtId="0" xfId="0" applyFont="1"/>
    <xf borderId="1" fillId="8" fontId="2" numFmtId="0" xfId="0" applyBorder="1" applyFont="1"/>
    <xf borderId="0" fillId="0" fontId="7" numFmtId="0" xfId="0" applyAlignment="1" applyFont="1">
      <alignment readingOrder="0"/>
    </xf>
    <xf borderId="0" fillId="0" fontId="7" numFmtId="0" xfId="0" applyFont="1"/>
    <xf borderId="1" fillId="11" fontId="1" numFmtId="0" xfId="0" applyBorder="1" applyFill="1" applyFont="1"/>
    <xf borderId="1" fillId="12" fontId="1" numFmtId="0" xfId="0" applyBorder="1" applyFill="1" applyFont="1"/>
    <xf borderId="1" fillId="13" fontId="1" numFmtId="0" xfId="0" applyAlignment="1" applyBorder="1" applyFill="1" applyFont="1">
      <alignment readingOrder="0"/>
    </xf>
    <xf borderId="1" fillId="14" fontId="1" numFmtId="0" xfId="0" applyAlignment="1" applyBorder="1" applyFill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15" fontId="7" numFmtId="0" xfId="0" applyAlignment="1" applyFill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4" numFmtId="0" xfId="0" applyAlignment="1" applyFont="1">
      <alignment horizontal="right"/>
    </xf>
    <xf borderId="0" fillId="0" fontId="2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vertical="center"/>
    </xf>
    <xf borderId="1" fillId="0" fontId="17" numFmtId="0" xfId="0" applyAlignment="1" applyBorder="1" applyFont="1">
      <alignment readingOrder="0" shrinkToFit="0" wrapText="0"/>
    </xf>
    <xf borderId="1" fillId="8" fontId="5" numFmtId="0" xfId="0" applyAlignment="1" applyBorder="1" applyFont="1">
      <alignment horizontal="center" readingOrder="0"/>
    </xf>
    <xf borderId="0" fillId="0" fontId="2" numFmtId="0" xfId="0" applyFont="1"/>
    <xf borderId="1" fillId="0" fontId="5" numFmtId="0" xfId="0" applyAlignment="1" applyBorder="1" applyFont="1">
      <alignment horizontal="left"/>
    </xf>
    <xf borderId="1" fillId="0" fontId="2" numFmtId="0" xfId="0" applyAlignment="1" applyBorder="1" applyFont="1">
      <alignment readingOrder="0" shrinkToFit="0" wrapText="0"/>
    </xf>
    <xf borderId="1" fillId="8" fontId="2" numFmtId="0" xfId="0" applyAlignment="1" applyBorder="1" applyFont="1">
      <alignment horizontal="center"/>
    </xf>
    <xf borderId="1" fillId="0" fontId="18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left" readingOrder="0"/>
    </xf>
    <xf borderId="1" fillId="16" fontId="17" numFmtId="0" xfId="0" applyAlignment="1" applyBorder="1" applyFill="1" applyFont="1">
      <alignment readingOrder="0" shrinkToFit="0" wrapText="0"/>
    </xf>
    <xf borderId="1" fillId="0" fontId="17" numFmtId="0" xfId="0" applyAlignment="1" applyBorder="1" applyFont="1">
      <alignment shrinkToFit="0" wrapText="0"/>
    </xf>
    <xf borderId="1" fillId="16" fontId="17" numFmtId="0" xfId="0" applyAlignment="1" applyBorder="1" applyFont="1">
      <alignment shrinkToFit="0" wrapText="0"/>
    </xf>
    <xf borderId="1" fillId="17" fontId="19" numFmtId="0" xfId="0" applyAlignment="1" applyBorder="1" applyFill="1" applyFont="1">
      <alignment shrinkToFit="0" wrapText="0"/>
    </xf>
    <xf borderId="1" fillId="0" fontId="14" numFmtId="0" xfId="0" applyBorder="1" applyFont="1"/>
    <xf borderId="1" fillId="17" fontId="19" numFmtId="0" xfId="0" applyAlignment="1" applyBorder="1" applyFont="1">
      <alignment readingOrder="0" shrinkToFit="0" wrapText="0"/>
    </xf>
    <xf borderId="1" fillId="17" fontId="20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shrinkToFit="0" vertical="center" wrapText="0"/>
    </xf>
    <xf borderId="1" fillId="10" fontId="5" numFmtId="0" xfId="0" applyAlignment="1" applyBorder="1" applyFont="1">
      <alignment readingOrder="0" shrinkToFit="0" wrapText="0"/>
    </xf>
    <xf quotePrefix="1" borderId="0" fillId="0" fontId="7" numFmtId="0" xfId="0" applyAlignment="1" applyFont="1">
      <alignment readingOrder="0"/>
    </xf>
    <xf borderId="1" fillId="7" fontId="5" numFmtId="0" xfId="0" applyAlignment="1" applyBorder="1" applyFont="1">
      <alignment shrinkToFit="0" wrapText="0"/>
    </xf>
    <xf borderId="1" fillId="0" fontId="5" numFmtId="0" xfId="0" applyAlignment="1" applyBorder="1" applyFont="1">
      <alignment shrinkToFit="0" wrapText="0"/>
    </xf>
    <xf borderId="1" fillId="8" fontId="5" numFmtId="0" xfId="0" applyBorder="1" applyFont="1"/>
    <xf borderId="1" fillId="0" fontId="10" numFmtId="0" xfId="0" applyBorder="1" applyFont="1"/>
    <xf borderId="1" fillId="9" fontId="5" numFmtId="0" xfId="0" applyAlignment="1" applyBorder="1" applyFont="1">
      <alignment shrinkToFit="0" wrapText="0"/>
    </xf>
    <xf borderId="1" fillId="10" fontId="5" numFmtId="0" xfId="0" applyAlignment="1" applyBorder="1" applyFont="1">
      <alignment shrinkToFit="0" wrapText="0"/>
    </xf>
    <xf borderId="1" fillId="8" fontId="5" numFmtId="0" xfId="0" applyAlignment="1" applyBorder="1" applyFont="1">
      <alignment horizontal="center"/>
    </xf>
    <xf borderId="2" fillId="3" fontId="8" numFmtId="0" xfId="0" applyAlignment="1" applyBorder="1" applyFont="1">
      <alignment horizontal="center"/>
    </xf>
    <xf borderId="0" fillId="0" fontId="2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1" fillId="0" fontId="10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1" fillId="18" fontId="22" numFmtId="0" xfId="0" applyBorder="1" applyFill="1" applyFont="1"/>
    <xf borderId="1" fillId="18" fontId="5" numFmtId="0" xfId="0" applyAlignment="1" applyBorder="1" applyFont="1">
      <alignment horizontal="center"/>
    </xf>
    <xf borderId="1" fillId="18" fontId="14" numFmtId="0" xfId="0" applyBorder="1" applyFont="1"/>
    <xf borderId="1" fillId="0" fontId="18" numFmtId="0" xfId="0" applyAlignment="1" applyBorder="1" applyFont="1">
      <alignment horizontal="center"/>
    </xf>
    <xf borderId="1" fillId="13" fontId="1" numFmtId="0" xfId="0" applyBorder="1" applyFont="1"/>
    <xf borderId="1" fillId="14" fontId="1" numFmtId="0" xfId="0" applyBorder="1" applyFont="1"/>
    <xf borderId="2" fillId="5" fontId="23" numFmtId="0" xfId="0" applyAlignment="1" applyBorder="1" applyFont="1">
      <alignment horizontal="center"/>
    </xf>
    <xf borderId="2" fillId="5" fontId="15" numFmtId="0" xfId="0" applyAlignment="1" applyBorder="1" applyFont="1">
      <alignment horizontal="center"/>
    </xf>
    <xf borderId="1" fillId="6" fontId="24" numFmtId="0" xfId="0" applyAlignment="1" applyBorder="1" applyFont="1">
      <alignment horizontal="center"/>
    </xf>
    <xf borderId="1" fillId="6" fontId="25" numFmtId="0" xfId="0" applyAlignment="1" applyBorder="1" applyFont="1">
      <alignment horizontal="center"/>
    </xf>
    <xf borderId="1" fillId="0" fontId="15" numFmtId="0" xfId="0" applyBorder="1" applyFont="1"/>
    <xf borderId="1" fillId="11" fontId="15" numFmtId="0" xfId="0" applyBorder="1" applyFont="1"/>
    <xf borderId="1" fillId="12" fontId="15" numFmtId="0" xfId="0" applyBorder="1" applyFont="1"/>
    <xf borderId="1" fillId="13" fontId="15" numFmtId="0" xfId="0" applyBorder="1" applyFont="1"/>
    <xf borderId="1" fillId="14" fontId="15" numFmtId="0" xfId="0" applyBorder="1" applyFont="1"/>
    <xf borderId="1" fillId="0" fontId="14" numFmtId="0" xfId="0" applyAlignment="1" applyBorder="1" applyFont="1">
      <alignment horizontal="center"/>
    </xf>
    <xf borderId="1" fillId="8" fontId="14" numFmtId="0" xfId="0" applyBorder="1" applyFont="1"/>
    <xf borderId="1" fillId="0" fontId="14" numFmtId="166" xfId="0" applyAlignment="1" applyBorder="1" applyFont="1" applyNumberFormat="1">
      <alignment horizontal="center"/>
    </xf>
    <xf borderId="1" fillId="0" fontId="14" numFmtId="0" xfId="0" applyAlignment="1" applyBorder="1" applyFont="1">
      <alignment readingOrder="0"/>
    </xf>
    <xf borderId="1" fillId="8" fontId="26" numFmtId="0" xfId="0" applyAlignment="1" applyBorder="1" applyFont="1">
      <alignment horizontal="center"/>
    </xf>
    <xf borderId="1" fillId="0" fontId="14" numFmtId="0" xfId="0" applyAlignment="1" applyBorder="1" applyFont="1">
      <alignment horizontal="left"/>
    </xf>
    <xf borderId="0" fillId="0" fontId="14" numFmtId="0" xfId="0" applyAlignment="1" applyFont="1">
      <alignment horizontal="center"/>
    </xf>
    <xf borderId="1" fillId="14" fontId="15" numFmtId="0" xfId="0" applyAlignment="1" applyBorder="1" applyFont="1">
      <alignment readingOrder="0"/>
    </xf>
    <xf borderId="5" fillId="0" fontId="4" numFmtId="0" xfId="0" applyBorder="1" applyFont="1"/>
    <xf borderId="0" fillId="0" fontId="27" numFmtId="0" xfId="0" applyAlignment="1" applyFont="1">
      <alignment horizontal="center"/>
    </xf>
    <xf borderId="1" fillId="19" fontId="25" numFmtId="0" xfId="0" applyAlignment="1" applyBorder="1" applyFill="1" applyFont="1">
      <alignment horizontal="center"/>
    </xf>
    <xf borderId="1" fillId="19" fontId="25" numFmtId="0" xfId="0" applyBorder="1" applyFont="1"/>
    <xf borderId="1" fillId="19" fontId="28" numFmtId="0" xfId="0" applyAlignment="1" applyBorder="1" applyFont="1">
      <alignment horizontal="center"/>
    </xf>
    <xf borderId="1" fillId="19" fontId="28" numFmtId="0" xfId="0" applyAlignment="1" applyBorder="1" applyFont="1">
      <alignment horizontal="left"/>
    </xf>
    <xf borderId="1" fillId="10" fontId="14" numFmtId="0" xfId="0" applyBorder="1" applyFont="1"/>
    <xf borderId="1" fillId="0" fontId="14" numFmtId="165" xfId="0" applyBorder="1" applyFont="1" applyNumberFormat="1"/>
    <xf borderId="3" fillId="0" fontId="14" numFmtId="0" xfId="0" applyBorder="1" applyFont="1"/>
    <xf borderId="3" fillId="0" fontId="14" numFmtId="0" xfId="0" applyAlignment="1" applyBorder="1" applyFont="1">
      <alignment horizontal="center"/>
    </xf>
    <xf borderId="6" fillId="0" fontId="14" numFmtId="0" xfId="0" applyBorder="1" applyFont="1"/>
    <xf borderId="7" fillId="0" fontId="14" numFmtId="0" xfId="0" applyBorder="1" applyFont="1"/>
    <xf borderId="7" fillId="0" fontId="14" numFmtId="0" xfId="0" applyAlignment="1" applyBorder="1" applyFont="1">
      <alignment horizontal="center"/>
    </xf>
    <xf borderId="1" fillId="0" fontId="26" numFmtId="0" xfId="0" applyAlignment="1" applyBorder="1" applyFont="1">
      <alignment horizontal="center"/>
    </xf>
    <xf borderId="1" fillId="0" fontId="14" numFmtId="0" xfId="0" applyAlignment="1" applyBorder="1" applyFont="1">
      <alignment shrinkToFit="0" wrapText="1"/>
    </xf>
    <xf borderId="8" fillId="0" fontId="14" numFmtId="167" xfId="0" applyAlignment="1" applyBorder="1" applyFont="1" applyNumberFormat="1">
      <alignment horizontal="right"/>
    </xf>
    <xf borderId="1" fillId="0" fontId="14" numFmtId="164" xfId="0" applyAlignment="1" applyBorder="1" applyFont="1" applyNumberFormat="1">
      <alignment horizontal="center"/>
    </xf>
    <xf borderId="1" fillId="10" fontId="14" numFmtId="0" xfId="0" applyAlignment="1" applyBorder="1" applyFont="1">
      <alignment readingOrder="0"/>
    </xf>
    <xf borderId="1" fillId="8" fontId="26" numFmtId="0" xfId="0" applyBorder="1" applyFont="1"/>
    <xf borderId="1" fillId="0" fontId="26" numFmtId="0" xfId="0" applyBorder="1" applyFont="1"/>
    <xf borderId="1" fillId="2" fontId="15" numFmtId="0" xfId="0" applyBorder="1" applyFont="1"/>
    <xf borderId="1" fillId="2" fontId="29" numFmtId="0" xfId="0" applyAlignment="1" applyBorder="1" applyFont="1">
      <alignment horizontal="center"/>
    </xf>
    <xf borderId="1" fillId="2" fontId="15" numFmtId="0" xfId="0" applyAlignment="1" applyBorder="1" applyFont="1">
      <alignment horizontal="center"/>
    </xf>
    <xf borderId="1" fillId="12" fontId="15" numFmtId="0" xfId="0" applyAlignment="1" applyBorder="1" applyFont="1">
      <alignment horizontal="center"/>
    </xf>
    <xf borderId="1" fillId="13" fontId="15" numFmtId="0" xfId="0" applyAlignment="1" applyBorder="1" applyFont="1">
      <alignment horizontal="center"/>
    </xf>
    <xf borderId="1" fillId="20" fontId="15" numFmtId="0" xfId="0" applyBorder="1" applyFill="1" applyFont="1"/>
    <xf borderId="1" fillId="20" fontId="15" numFmtId="0" xfId="0" applyAlignment="1" applyBorder="1" applyFont="1">
      <alignment horizontal="center"/>
    </xf>
    <xf borderId="3" fillId="0" fontId="14" numFmtId="0" xfId="0" applyAlignment="1" applyBorder="1" applyFont="1">
      <alignment horizontal="right"/>
    </xf>
    <xf borderId="7" fillId="0" fontId="14" numFmtId="0" xfId="0" applyAlignment="1" applyBorder="1" applyFont="1">
      <alignment horizontal="right"/>
    </xf>
    <xf borderId="1" fillId="0" fontId="14" numFmtId="0" xfId="0" applyAlignment="1" applyBorder="1" applyFont="1">
      <alignment horizontal="right"/>
    </xf>
    <xf borderId="1" fillId="10" fontId="30" numFmtId="0" xfId="0" applyBorder="1" applyFont="1"/>
    <xf borderId="1" fillId="0" fontId="26" numFmtId="0" xfId="0" applyAlignment="1" applyBorder="1" applyFont="1">
      <alignment horizontal="right"/>
    </xf>
    <xf borderId="1" fillId="0" fontId="30" numFmtId="0" xfId="0" applyBorder="1" applyFont="1"/>
    <xf borderId="1" fillId="2" fontId="29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0">
    <tableStyle count="2" pivot="0" name="March 26-style">
      <tableStyleElement dxfId="1" type="firstRowStripe"/>
      <tableStyleElement dxfId="2" type="secondRowStripe"/>
    </tableStyle>
    <tableStyle count="2" pivot="0" name="March 26-style 2">
      <tableStyleElement dxfId="2" type="firstRowStripe"/>
      <tableStyleElement dxfId="1" type="secondRowStripe"/>
    </tableStyle>
    <tableStyle count="4" pivot="0" name="March 26-style 3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Feb 26-style">
      <tableStyleElement dxfId="1" type="firstRowStripe"/>
      <tableStyleElement dxfId="2" type="secondRowStripe"/>
    </tableStyle>
    <tableStyle count="2" pivot="0" name="Feb 26-style 2">
      <tableStyleElement dxfId="2" type="firstRowStripe"/>
      <tableStyleElement dxfId="1" type="secondRowStripe"/>
    </tableStyle>
    <tableStyle count="2" pivot="0" name="Jan 26-style">
      <tableStyleElement dxfId="1" type="firstRowStripe"/>
      <tableStyleElement dxfId="2" type="secondRowStripe"/>
    </tableStyle>
    <tableStyle count="2" pivot="0" name="Jan 26-style 2">
      <tableStyleElement dxfId="2" type="firstRowStripe"/>
      <tableStyleElement dxfId="1" type="secondRowStripe"/>
    </tableStyle>
    <tableStyle count="2" pivot="0" name="Dec 25-style">
      <tableStyleElement dxfId="1" type="firstRowStripe"/>
      <tableStyleElement dxfId="2" type="secondRowStripe"/>
    </tableStyle>
    <tableStyle count="2" pivot="0" name="Dec 25-style 2">
      <tableStyleElement dxfId="2" type="firstRowStripe"/>
      <tableStyleElement dxfId="1" type="secondRowStripe"/>
    </tableStyle>
    <tableStyle count="2" pivot="0" name="Nov 25-style">
      <tableStyleElement dxfId="1" type="firstRowStripe"/>
      <tableStyleElement dxfId="2" type="secondRowStripe"/>
    </tableStyle>
    <tableStyle count="2" pivot="0" name="Nov 25-style 2">
      <tableStyleElement dxfId="2" type="firstRowStripe"/>
      <tableStyleElement dxfId="1" type="secondRowStripe"/>
    </tableStyle>
    <tableStyle count="2" pivot="0" name="Oct 25-style">
      <tableStyleElement dxfId="1" type="firstRowStripe"/>
      <tableStyleElement dxfId="2" type="secondRowStripe"/>
    </tableStyle>
    <tableStyle count="2" pivot="0" name="Oct 25-style 2">
      <tableStyleElement dxfId="2" type="firstRowStripe"/>
      <tableStyleElement dxfId="1" type="secondRowStripe"/>
    </tableStyle>
    <tableStyle count="2" pivot="0" name="Sept 25-style">
      <tableStyleElement dxfId="1" type="firstRowStripe"/>
      <tableStyleElement dxfId="2" type="secondRowStripe"/>
    </tableStyle>
    <tableStyle count="2" pivot="0" name="Sept 25-style 2">
      <tableStyleElement dxfId="2" type="firstRowStripe"/>
      <tableStyleElement dxfId="1" type="secondRowStripe"/>
    </tableStyle>
    <tableStyle count="2" pivot="0" name="August 25-style">
      <tableStyleElement dxfId="1" type="firstRowStripe"/>
      <tableStyleElement dxfId="2" type="secondRowStripe"/>
    </tableStyle>
    <tableStyle count="2" pivot="0" name="August 25-style 2">
      <tableStyleElement dxfId="2" type="firstRowStripe"/>
      <tableStyleElement dxfId="1" type="secondRowStripe"/>
    </tableStyle>
    <tableStyle count="2" pivot="0" name="July 25-style">
      <tableStyleElement dxfId="1" type="firstRowStripe"/>
      <tableStyleElement dxfId="2" type="secondRowStripe"/>
    </tableStyle>
    <tableStyle count="2" pivot="0" name="July 25-style 2">
      <tableStyleElement dxfId="2" type="firstRowStripe"/>
      <tableStyleElement dxfId="1" type="secondRowStripe"/>
    </tableStyle>
    <tableStyle count="2" pivot="0" name="June 25-style">
      <tableStyleElement dxfId="1" type="firstRowStripe"/>
      <tableStyleElement dxfId="2" type="secondRowStripe"/>
    </tableStyle>
    <tableStyle count="2" pivot="0" name="June 25-style 2">
      <tableStyleElement dxfId="2" type="firstRowStripe"/>
      <tableStyleElement dxfId="1" type="secondRowStripe"/>
    </tableStyle>
    <tableStyle count="2" pivot="0" name="Nepal Tales-style">
      <tableStyleElement dxfId="1" type="firstRowStripe"/>
      <tableStyleElement dxfId="2" type="secondRowStripe"/>
    </tableStyle>
    <tableStyle count="2" pivot="0" name="Nepal Tales-style 2">
      <tableStyleElement dxfId="2" type="firstRowStripe"/>
      <tableStyleElement dxfId="1" type="secondRowStripe"/>
    </tableStyle>
    <tableStyle count="2" pivot="0" name="May 25-style">
      <tableStyleElement dxfId="1" type="firstRowStripe"/>
      <tableStyleElement dxfId="2" type="secondRowStripe"/>
    </tableStyle>
    <tableStyle count="2" pivot="0" name="May 25-style 2">
      <tableStyleElement dxfId="2" type="firstRowStripe"/>
      <tableStyleElement dxfId="1" type="secondRowStripe"/>
    </tableStyle>
    <tableStyle count="2" pivot="0" name="April 25-style">
      <tableStyleElement dxfId="1" type="firstRowStripe"/>
      <tableStyleElement dxfId="2" type="secondRowStripe"/>
    </tableStyle>
    <tableStyle count="2" pivot="0" name="April 25-style 2">
      <tableStyleElement dxfId="2" type="firstRowStripe"/>
      <tableStyleElement dxfId="1" type="secondRowStripe"/>
    </tableStyle>
    <tableStyle count="2" pivot="0" name="March 25-style">
      <tableStyleElement dxfId="1" type="firstRowStripe"/>
      <tableStyleElement dxfId="2" type="secondRowStripe"/>
    </tableStyle>
    <tableStyle count="2" pivot="0" name="March 25-style 2">
      <tableStyleElement dxfId="2" type="firstRowStripe"/>
      <tableStyleElement dxfId="1" type="secondRowStripe"/>
    </tableStyle>
    <tableStyle count="4" pivot="0" name="March 25-style 3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Feb 25-style">
      <tableStyleElement dxfId="1" type="firstRowStripe"/>
      <tableStyleElement dxfId="2" type="secondRowStripe"/>
    </tableStyle>
    <tableStyle count="2" pivot="0" name="Feb 25-style 2">
      <tableStyleElement dxfId="2" type="firstRowStripe"/>
      <tableStyleElement dxfId="1" type="secondRowStripe"/>
    </tableStyle>
    <tableStyle count="2" pivot="0" name="Jan 25-style">
      <tableStyleElement dxfId="1" type="firstRowStripe"/>
      <tableStyleElement dxfId="2" type="secondRowStripe"/>
    </tableStyle>
    <tableStyle count="2" pivot="0" name="Jan 25-style 2">
      <tableStyleElement dxfId="2" type="firstRowStripe"/>
      <tableStyleElement dxfId="1" type="secondRowStripe"/>
    </tableStyle>
    <tableStyle count="2" pivot="0" name="Dec 24-style">
      <tableStyleElement dxfId="1" type="firstRowStripe"/>
      <tableStyleElement dxfId="2" type="secondRowStripe"/>
    </tableStyle>
    <tableStyle count="2" pivot="0" name="Dec 24-style 2">
      <tableStyleElement dxfId="2" type="firstRowStripe"/>
      <tableStyleElement dxfId="1" type="secondRowStripe"/>
    </tableStyle>
    <tableStyle count="2" pivot="0" name="Nov 24-style">
      <tableStyleElement dxfId="1" type="firstRowStripe"/>
      <tableStyleElement dxfId="2" type="secondRowStripe"/>
    </tableStyle>
    <tableStyle count="2" pivot="0" name="Nov 24-style 2">
      <tableStyleElement dxfId="2" type="firstRowStripe"/>
      <tableStyleElement dxfId="1" type="secondRowStripe"/>
    </tableStyle>
    <tableStyle count="2" pivot="0" name="Oct 24-style">
      <tableStyleElement dxfId="1" type="firstRowStripe"/>
      <tableStyleElement dxfId="2" type="secondRowStripe"/>
    </tableStyle>
    <tableStyle count="2" pivot="0" name="Oct 24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D62" displayName="Table_1" name="Table_1" id="1">
  <tableColumns count="3">
    <tableColumn name="Column1" id="1"/>
    <tableColumn name="Column2" id="2"/>
    <tableColumn name="Column3" id="3"/>
  </tableColumns>
  <tableStyleInfo name="March 26-style" showColumnStripes="0" showFirstColumn="1" showLastColumn="1" showRowStripes="1"/>
</table>
</file>

<file path=xl/tables/table2.xml><?xml version="1.0" encoding="utf-8"?>
<table xmlns="http://schemas.openxmlformats.org/spreadsheetml/2006/main" headerRowCount="0" ref="G9:N43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ch 26-style 2" showColumnStripes="0" showFirstColumn="1" showLastColumn="1" showRowStripes="1"/>
</table>
</file>

<file path=xl/tables/table3.xml><?xml version="1.0" encoding="utf-8"?>
<table xmlns="http://schemas.openxmlformats.org/spreadsheetml/2006/main" ref="J68:N80" displayName="Table1_2" name="Table1_2" id="3">
  <tableColumns count="5">
    <tableColumn name="Column 1" id="1"/>
    <tableColumn name="Column 2" id="2"/>
    <tableColumn name="Column 3" id="3"/>
    <tableColumn name="Rider Cost" id="4"/>
    <tableColumn name="T2W Cost" id="5"/>
  </tableColumns>
  <tableStyleInfo name="March 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B4:B31" displayName="Table_3" name="Table_3" id="4">
  <tableColumns count="1">
    <tableColumn name="Column1" id="1"/>
  </tableColumns>
  <tableStyleInfo name="Feb 26-style" showColumnStripes="0" showFirstColumn="1" showLastColumn="1" showRowStripes="1"/>
</table>
</file>

<file path=xl/tables/table5.xml><?xml version="1.0" encoding="utf-8"?>
<table xmlns="http://schemas.openxmlformats.org/spreadsheetml/2006/main" headerRowCount="0" ref="G9:K14" displayName="Table_4" name="Table_4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Feb 26-style 2" showColumnStripes="0" showFirstColumn="1" showLastColumn="1" showRowStripes="1"/>
</table>
</file>

<file path=xl/tables/table6.xml><?xml version="1.0" encoding="utf-8"?>
<table xmlns="http://schemas.openxmlformats.org/spreadsheetml/2006/main" headerRowCount="0" ref="B4:B31" displayName="Table_5" name="Table_5" id="6">
  <tableColumns count="1">
    <tableColumn name="Column1" id="1"/>
  </tableColumns>
  <tableStyleInfo name="Jan 26-style" showColumnStripes="0" showFirstColumn="1" showLastColumn="1" showRowStripes="1"/>
</table>
</file>

<file path=xl/tables/table7.xml><?xml version="1.0" encoding="utf-8"?>
<table xmlns="http://schemas.openxmlformats.org/spreadsheetml/2006/main" headerRowCount="0" ref="G9:K14" displayName="Table_6" name="Table_6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Jan 26-style 2" showColumnStripes="0" showFirstColumn="1" showLastColumn="1" showRowStripes="1"/>
</table>
</file>

<file path=xl/tables/table8.xml><?xml version="1.0" encoding="utf-8"?>
<table xmlns="http://schemas.openxmlformats.org/spreadsheetml/2006/main" headerRowCount="0" ref="B4:B31" displayName="Table_7" name="Table_7" id="8">
  <tableColumns count="1">
    <tableColumn name="Column1" id="1"/>
  </tableColumns>
  <tableStyleInfo name="Dec 25-style" showColumnStripes="0" showFirstColumn="1" showLastColumn="1" showRowStripes="1"/>
</table>
</file>

<file path=xl/tables/table9.xml><?xml version="1.0" encoding="utf-8"?>
<table xmlns="http://schemas.openxmlformats.org/spreadsheetml/2006/main" headerRowCount="0" ref="G9:K11" displayName="Table_8" name="Table_8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Dec 25-style 2" showColumnStripes="0" showFirstColumn="1" showLastColumn="1" showRowStripes="1"/>
</table>
</file>

<file path=xl/tables/table10.xml><?xml version="1.0" encoding="utf-8"?>
<table xmlns="http://schemas.openxmlformats.org/spreadsheetml/2006/main" headerRowCount="0" ref="B4:B31" displayName="Table_9" name="Table_9" id="10">
  <tableColumns count="1">
    <tableColumn name="Column1" id="1"/>
  </tableColumns>
  <tableStyleInfo name="Nov 25-style" showColumnStripes="0" showFirstColumn="1" showLastColumn="1" showRowStripes="1"/>
</table>
</file>

<file path=xl/tables/table11.xml><?xml version="1.0" encoding="utf-8"?>
<table xmlns="http://schemas.openxmlformats.org/spreadsheetml/2006/main" headerRowCount="0" ref="G9:K11" displayName="Table_10" name="Table_10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Nov 25-style 2" showColumnStripes="0" showFirstColumn="1" showLastColumn="1" showRowStripes="1"/>
</table>
</file>

<file path=xl/tables/table12.xml><?xml version="1.0" encoding="utf-8"?>
<table xmlns="http://schemas.openxmlformats.org/spreadsheetml/2006/main" headerRowCount="0" ref="B4:B31" displayName="Table_11" name="Table_11" id="12">
  <tableColumns count="1">
    <tableColumn name="Column1" id="1"/>
  </tableColumns>
  <tableStyleInfo name="Oct 25-style" showColumnStripes="0" showFirstColumn="1" showLastColumn="1" showRowStripes="1"/>
</table>
</file>

<file path=xl/tables/table13.xml><?xml version="1.0" encoding="utf-8"?>
<table xmlns="http://schemas.openxmlformats.org/spreadsheetml/2006/main" headerRowCount="0" ref="G9:K11" displayName="Table_12" name="Table_12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Oct 25-style 2" showColumnStripes="0" showFirstColumn="1" showLastColumn="1" showRowStripes="1"/>
</table>
</file>

<file path=xl/tables/table14.xml><?xml version="1.0" encoding="utf-8"?>
<table xmlns="http://schemas.openxmlformats.org/spreadsheetml/2006/main" headerRowCount="0" ref="B4:B31" displayName="Table_13" name="Table_13" id="14">
  <tableColumns count="1">
    <tableColumn name="Column1" id="1"/>
  </tableColumns>
  <tableStyleInfo name="Sept 25-style" showColumnStripes="0" showFirstColumn="1" showLastColumn="1" showRowStripes="1"/>
</table>
</file>

<file path=xl/tables/table15.xml><?xml version="1.0" encoding="utf-8"?>
<table xmlns="http://schemas.openxmlformats.org/spreadsheetml/2006/main" headerRowCount="0" ref="G9:J11" displayName="Table_14" name="Table_14" id="15">
  <tableColumns count="4">
    <tableColumn name="Column1" id="1"/>
    <tableColumn name="Column2" id="2"/>
    <tableColumn name="Column3" id="3"/>
    <tableColumn name="Column4" id="4"/>
  </tableColumns>
  <tableStyleInfo name="Sept 25-style 2" showColumnStripes="0" showFirstColumn="1" showLastColumn="1" showRowStripes="1"/>
</table>
</file>

<file path=xl/tables/table16.xml><?xml version="1.0" encoding="utf-8"?>
<table xmlns="http://schemas.openxmlformats.org/spreadsheetml/2006/main" headerRowCount="0" ref="B4:B31" displayName="Table_15" name="Table_15" id="16">
  <tableColumns count="1">
    <tableColumn name="Column1" id="1"/>
  </tableColumns>
  <tableStyleInfo name="August 25-style" showColumnStripes="0" showFirstColumn="1" showLastColumn="1" showRowStripes="1"/>
</table>
</file>

<file path=xl/tables/table17.xml><?xml version="1.0" encoding="utf-8"?>
<table xmlns="http://schemas.openxmlformats.org/spreadsheetml/2006/main" headerRowCount="0" ref="G9:J11" displayName="Table_16" name="Table_16" id="17">
  <tableColumns count="4">
    <tableColumn name="Column1" id="1"/>
    <tableColumn name="Column2" id="2"/>
    <tableColumn name="Column3" id="3"/>
    <tableColumn name="Column4" id="4"/>
  </tableColumns>
  <tableStyleInfo name="August 25-style 2" showColumnStripes="0" showFirstColumn="1" showLastColumn="1" showRowStripes="1"/>
</table>
</file>

<file path=xl/tables/table18.xml><?xml version="1.0" encoding="utf-8"?>
<table xmlns="http://schemas.openxmlformats.org/spreadsheetml/2006/main" headerRowCount="0" ref="B4:B38" displayName="Table_17" name="Table_17" id="18">
  <tableColumns count="1">
    <tableColumn name="Column1" id="1"/>
  </tableColumns>
  <tableStyleInfo name="July 25-style" showColumnStripes="0" showFirstColumn="1" showLastColumn="1" showRowStripes="1"/>
</table>
</file>

<file path=xl/tables/table19.xml><?xml version="1.0" encoding="utf-8"?>
<table xmlns="http://schemas.openxmlformats.org/spreadsheetml/2006/main" headerRowCount="0" ref="G9:J11" displayName="Table_18" name="Table_18" id="19">
  <tableColumns count="4">
    <tableColumn name="Column1" id="1"/>
    <tableColumn name="Column2" id="2"/>
    <tableColumn name="Column3" id="3"/>
    <tableColumn name="Column4" id="4"/>
  </tableColumns>
  <tableStyleInfo name="July 25-style 2" showColumnStripes="0" showFirstColumn="1" showLastColumn="1" showRowStripes="1"/>
</table>
</file>

<file path=xl/tables/table20.xml><?xml version="1.0" encoding="utf-8"?>
<table xmlns="http://schemas.openxmlformats.org/spreadsheetml/2006/main" headerRowCount="0" ref="B4:B35" displayName="Table_19" name="Table_19" id="20">
  <tableColumns count="1">
    <tableColumn name="Column1" id="1"/>
  </tableColumns>
  <tableStyleInfo name="June 25-style" showColumnStripes="0" showFirstColumn="1" showLastColumn="1" showRowStripes="1"/>
</table>
</file>

<file path=xl/tables/table21.xml><?xml version="1.0" encoding="utf-8"?>
<table xmlns="http://schemas.openxmlformats.org/spreadsheetml/2006/main" headerRowCount="0" ref="G9:J11" displayName="Table_20" name="Table_20" id="21">
  <tableColumns count="4">
    <tableColumn name="Column1" id="1"/>
    <tableColumn name="Column2" id="2"/>
    <tableColumn name="Column3" id="3"/>
    <tableColumn name="Column4" id="4"/>
  </tableColumns>
  <tableStyleInfo name="June 25-style 2" showColumnStripes="0" showFirstColumn="1" showLastColumn="1" showRowStripes="1"/>
</table>
</file>

<file path=xl/tables/table22.xml><?xml version="1.0" encoding="utf-8"?>
<table xmlns="http://schemas.openxmlformats.org/spreadsheetml/2006/main" headerRowCount="0" ref="B4:B33" displayName="Table_21" name="Table_21" id="22">
  <tableColumns count="1">
    <tableColumn name="Column1" id="1"/>
  </tableColumns>
  <tableStyleInfo name="Nepal Tales-style" showColumnStripes="0" showFirstColumn="1" showLastColumn="1" showRowStripes="1"/>
</table>
</file>

<file path=xl/tables/table23.xml><?xml version="1.0" encoding="utf-8"?>
<table xmlns="http://schemas.openxmlformats.org/spreadsheetml/2006/main" headerRowCount="0" ref="G9:J11" displayName="Table_22" name="Table_22" id="23">
  <tableColumns count="4">
    <tableColumn name="Column1" id="1"/>
    <tableColumn name="Column2" id="2"/>
    <tableColumn name="Column3" id="3"/>
    <tableColumn name="Column4" id="4"/>
  </tableColumns>
  <tableStyleInfo name="Nepal Tales-style 2" showColumnStripes="0" showFirstColumn="1" showLastColumn="1" showRowStripes="1"/>
</table>
</file>

<file path=xl/tables/table24.xml><?xml version="1.0" encoding="utf-8"?>
<table xmlns="http://schemas.openxmlformats.org/spreadsheetml/2006/main" headerRowCount="0" ref="B4:B33" displayName="Table_23" name="Table_23" id="24">
  <tableColumns count="1">
    <tableColumn name="Column1" id="1"/>
  </tableColumns>
  <tableStyleInfo name="May 25-style" showColumnStripes="0" showFirstColumn="1" showLastColumn="1" showRowStripes="1"/>
</table>
</file>

<file path=xl/tables/table25.xml><?xml version="1.0" encoding="utf-8"?>
<table xmlns="http://schemas.openxmlformats.org/spreadsheetml/2006/main" headerRowCount="0" ref="G9:J11" displayName="Table_24" name="Table_24" id="25">
  <tableColumns count="4">
    <tableColumn name="Column1" id="1"/>
    <tableColumn name="Column2" id="2"/>
    <tableColumn name="Column3" id="3"/>
    <tableColumn name="Column4" id="4"/>
  </tableColumns>
  <tableStyleInfo name="May 25-style 2" showColumnStripes="0" showFirstColumn="1" showLastColumn="1" showRowStripes="1"/>
</table>
</file>

<file path=xl/tables/table26.xml><?xml version="1.0" encoding="utf-8"?>
<table xmlns="http://schemas.openxmlformats.org/spreadsheetml/2006/main" headerRowCount="0" ref="B4:B33" displayName="Table_25" name="Table_25" id="26">
  <tableColumns count="1">
    <tableColumn name="Column1" id="1"/>
  </tableColumns>
  <tableStyleInfo name="April 25-style" showColumnStripes="0" showFirstColumn="1" showLastColumn="1" showRowStripes="1"/>
</table>
</file>

<file path=xl/tables/table27.xml><?xml version="1.0" encoding="utf-8"?>
<table xmlns="http://schemas.openxmlformats.org/spreadsheetml/2006/main" headerRowCount="0" ref="G9:J11" displayName="Table_26" name="Table_26" id="27">
  <tableColumns count="4">
    <tableColumn name="Column1" id="1"/>
    <tableColumn name="Column2" id="2"/>
    <tableColumn name="Column3" id="3"/>
    <tableColumn name="Column4" id="4"/>
  </tableColumns>
  <tableStyleInfo name="April 25-style 2" showColumnStripes="0" showFirstColumn="1" showLastColumn="1" showRowStripes="1"/>
</table>
</file>

<file path=xl/tables/table28.xml><?xml version="1.0" encoding="utf-8"?>
<table xmlns="http://schemas.openxmlformats.org/spreadsheetml/2006/main" headerRowCount="0" ref="B4:D62" displayName="Table_27" name="Table_27" id="28">
  <tableColumns count="3">
    <tableColumn name="Column1" id="1"/>
    <tableColumn name="Column2" id="2"/>
    <tableColumn name="Column3" id="3"/>
  </tableColumns>
  <tableStyleInfo name="March 25-style" showColumnStripes="0" showFirstColumn="1" showLastColumn="1" showRowStripes="1"/>
</table>
</file>

<file path=xl/tables/table29.xml><?xml version="1.0" encoding="utf-8"?>
<table xmlns="http://schemas.openxmlformats.org/spreadsheetml/2006/main" headerRowCount="0" ref="G9:N43" displayName="Table_28" name="Table_28" id="2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ch 25-style 2" showColumnStripes="0" showFirstColumn="1" showLastColumn="1" showRowStripes="1"/>
</table>
</file>

<file path=xl/tables/table30.xml><?xml version="1.0" encoding="utf-8"?>
<table xmlns="http://schemas.openxmlformats.org/spreadsheetml/2006/main" ref="J68:N80" displayName="Table1" name="Table1" id="30">
  <tableColumns count="5">
    <tableColumn name="Column 1" id="1"/>
    <tableColumn name="Column 2" id="2"/>
    <tableColumn name="Column 3" id="3"/>
    <tableColumn name="Rider Cost" id="4"/>
    <tableColumn name="T2W Cost" id="5"/>
  </tableColumns>
  <tableStyleInfo name="March 25-style 3" showColumnStripes="0" showFirstColumn="1" showLastColumn="1" showRowStripes="1"/>
</table>
</file>

<file path=xl/tables/table31.xml><?xml version="1.0" encoding="utf-8"?>
<table xmlns="http://schemas.openxmlformats.org/spreadsheetml/2006/main" headerRowCount="0" ref="B4:B33" displayName="Table_29" name="Table_29" id="31">
  <tableColumns count="1">
    <tableColumn name="Column1" id="1"/>
  </tableColumns>
  <tableStyleInfo name="Feb 25-style" showColumnStripes="0" showFirstColumn="1" showLastColumn="1" showRowStripes="1"/>
</table>
</file>

<file path=xl/tables/table32.xml><?xml version="1.0" encoding="utf-8"?>
<table xmlns="http://schemas.openxmlformats.org/spreadsheetml/2006/main" headerRowCount="0" ref="G9:J11" displayName="Table_30" name="Table_30" id="32">
  <tableColumns count="4">
    <tableColumn name="Column1" id="1"/>
    <tableColumn name="Column2" id="2"/>
    <tableColumn name="Column3" id="3"/>
    <tableColumn name="Column4" id="4"/>
  </tableColumns>
  <tableStyleInfo name="Feb 25-style 2" showColumnStripes="0" showFirstColumn="1" showLastColumn="1" showRowStripes="1"/>
</table>
</file>

<file path=xl/tables/table33.xml><?xml version="1.0" encoding="utf-8"?>
<table xmlns="http://schemas.openxmlformats.org/spreadsheetml/2006/main" headerRowCount="0" ref="B4:B23" displayName="Table_31" name="Table_31" id="33">
  <tableColumns count="1">
    <tableColumn name="Column1" id="1"/>
  </tableColumns>
  <tableStyleInfo name="Jan 25-style" showColumnStripes="0" showFirstColumn="1" showLastColumn="1" showRowStripes="1"/>
</table>
</file>

<file path=xl/tables/table34.xml><?xml version="1.0" encoding="utf-8"?>
<table xmlns="http://schemas.openxmlformats.org/spreadsheetml/2006/main" headerRowCount="0" ref="G9:J11" displayName="Table_32" name="Table_32" id="34">
  <tableColumns count="4">
    <tableColumn name="Column1" id="1"/>
    <tableColumn name="Column2" id="2"/>
    <tableColumn name="Column3" id="3"/>
    <tableColumn name="Column4" id="4"/>
  </tableColumns>
  <tableStyleInfo name="Jan 25-style 2" showColumnStripes="0" showFirstColumn="1" showLastColumn="1" showRowStripes="1"/>
</table>
</file>

<file path=xl/tables/table35.xml><?xml version="1.0" encoding="utf-8"?>
<table xmlns="http://schemas.openxmlformats.org/spreadsheetml/2006/main" headerRowCount="0" ref="B4:B31" displayName="Table_33" name="Table_33" id="35">
  <tableColumns count="1">
    <tableColumn name="Column1" id="1"/>
  </tableColumns>
  <tableStyleInfo name="Dec 24-style" showColumnStripes="0" showFirstColumn="1" showLastColumn="1" showRowStripes="1"/>
</table>
</file>

<file path=xl/tables/table36.xml><?xml version="1.0" encoding="utf-8"?>
<table xmlns="http://schemas.openxmlformats.org/spreadsheetml/2006/main" headerRowCount="0" ref="G9:I12" displayName="Table_34" name="Table_34" id="36">
  <tableColumns count="3">
    <tableColumn name="Column1" id="1"/>
    <tableColumn name="Column2" id="2"/>
    <tableColumn name="Column3" id="3"/>
  </tableColumns>
  <tableStyleInfo name="Dec 24-style 2" showColumnStripes="0" showFirstColumn="1" showLastColumn="1" showRowStripes="1"/>
</table>
</file>

<file path=xl/tables/table37.xml><?xml version="1.0" encoding="utf-8"?>
<table xmlns="http://schemas.openxmlformats.org/spreadsheetml/2006/main" headerRowCount="0" ref="B4:B26" displayName="Table_35" name="Table_35" id="37">
  <tableColumns count="1">
    <tableColumn name="Column1" id="1"/>
  </tableColumns>
  <tableStyleInfo name="Nov 24-style" showColumnStripes="0" showFirstColumn="1" showLastColumn="1" showRowStripes="1"/>
</table>
</file>

<file path=xl/tables/table38.xml><?xml version="1.0" encoding="utf-8"?>
<table xmlns="http://schemas.openxmlformats.org/spreadsheetml/2006/main" headerRowCount="0" ref="G9:I10" displayName="Table_36" name="Table_36" id="38">
  <tableColumns count="3">
    <tableColumn name="Column1" id="1"/>
    <tableColumn name="Column2" id="2"/>
    <tableColumn name="Column3" id="3"/>
  </tableColumns>
  <tableStyleInfo name="Nov 24-style 2" showColumnStripes="0" showFirstColumn="1" showLastColumn="1" showRowStripes="1"/>
</table>
</file>

<file path=xl/tables/table39.xml><?xml version="1.0" encoding="utf-8"?>
<table xmlns="http://schemas.openxmlformats.org/spreadsheetml/2006/main" headerRowCount="0" ref="B4:B36" displayName="Table_37" name="Table_37" id="39">
  <tableColumns count="1">
    <tableColumn name="Column1" id="1"/>
  </tableColumns>
  <tableStyleInfo name="Oct 24-style" showColumnStripes="0" showFirstColumn="1" showLastColumn="1" showRowStripes="1"/>
</table>
</file>

<file path=xl/tables/table40.xml><?xml version="1.0" encoding="utf-8"?>
<table xmlns="http://schemas.openxmlformats.org/spreadsheetml/2006/main" headerRowCount="0" ref="G9:I10" displayName="Table_38" name="Table_38" id="40">
  <tableColumns count="3">
    <tableColumn name="Column1" id="1"/>
    <tableColumn name="Column2" id="2"/>
    <tableColumn name="Column3" id="3"/>
  </tableColumns>
  <tableStyleInfo name="Oct 2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2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4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5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6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7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8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9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0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1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2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3.xml"/><Relationship Id="rId6" Type="http://schemas.openxmlformats.org/officeDocument/2006/relationships/table" Target="../tables/table24.xml"/><Relationship Id="rId7" Type="http://schemas.openxmlformats.org/officeDocument/2006/relationships/table" Target="../tables/table2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4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5.xml"/><Relationship Id="rId9" Type="http://schemas.openxmlformats.org/officeDocument/2006/relationships/table" Target="../tables/table30.xml"/><Relationship Id="rId7" Type="http://schemas.openxmlformats.org/officeDocument/2006/relationships/table" Target="../tables/table28.xml"/><Relationship Id="rId8" Type="http://schemas.openxmlformats.org/officeDocument/2006/relationships/table" Target="../tables/table2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6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7.xml"/><Relationship Id="rId6" Type="http://schemas.openxmlformats.org/officeDocument/2006/relationships/table" Target="../tables/table33.xml"/><Relationship Id="rId7" Type="http://schemas.openxmlformats.org/officeDocument/2006/relationships/table" Target="../tables/table3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8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9.xml"/><Relationship Id="rId6" Type="http://schemas.openxmlformats.org/officeDocument/2006/relationships/table" Target="../tables/table37.xml"/><Relationship Id="rId7" Type="http://schemas.openxmlformats.org/officeDocument/2006/relationships/table" Target="../tables/table3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YzJFRhD3WXxAq1s6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20.xml"/><Relationship Id="rId6" Type="http://schemas.openxmlformats.org/officeDocument/2006/relationships/table" Target="../tables/table39.xml"/><Relationship Id="rId7" Type="http://schemas.openxmlformats.org/officeDocument/2006/relationships/table" Target="../tables/table4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76AQsskzy5LyUBNA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qYSytkYj56e1fVvS8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0.63"/>
    <col customWidth="1" min="3" max="3" width="8.13"/>
    <col customWidth="1" min="4" max="4" width="8.5"/>
    <col customWidth="1" min="5" max="5" width="7.38"/>
    <col customWidth="1" min="6" max="6" width="11.88"/>
    <col customWidth="1" min="7" max="7" width="13.38"/>
    <col customWidth="1" min="8" max="8" width="6.5"/>
    <col customWidth="1" min="9" max="9" width="13.13"/>
    <col customWidth="1" min="10" max="10" width="12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6">
        <v>45352.0</v>
      </c>
      <c r="B2" s="7" t="s">
        <v>7</v>
      </c>
      <c r="C2" s="8"/>
      <c r="D2" s="8">
        <v>11764.0</v>
      </c>
      <c r="E2" s="9">
        <f t="shared" ref="E2:E90" si="1">D2-C2</f>
        <v>11764</v>
      </c>
      <c r="F2" s="8" t="s">
        <v>8</v>
      </c>
      <c r="G2" s="10" t="s">
        <v>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75" customHeight="1">
      <c r="A3" s="6">
        <v>45352.0</v>
      </c>
      <c r="B3" s="7" t="s">
        <v>7</v>
      </c>
      <c r="C3" s="8"/>
      <c r="D3" s="8">
        <v>326.0</v>
      </c>
      <c r="E3" s="9">
        <f t="shared" si="1"/>
        <v>326</v>
      </c>
      <c r="F3" s="8" t="s">
        <v>10</v>
      </c>
      <c r="G3" s="10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6">
        <v>45352.0</v>
      </c>
      <c r="B4" s="7" t="s">
        <v>7</v>
      </c>
      <c r="C4" s="8"/>
      <c r="D4" s="8">
        <v>15506.0</v>
      </c>
      <c r="E4" s="9">
        <f t="shared" si="1"/>
        <v>15506</v>
      </c>
      <c r="F4" s="11" t="s">
        <v>11</v>
      </c>
      <c r="G4" s="10" t="s">
        <v>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6">
        <v>45352.0</v>
      </c>
      <c r="B5" s="7" t="s">
        <v>7</v>
      </c>
      <c r="C5" s="8"/>
      <c r="D5" s="8">
        <v>23180.0</v>
      </c>
      <c r="E5" s="9">
        <f t="shared" si="1"/>
        <v>23180</v>
      </c>
      <c r="F5" s="8" t="s">
        <v>12</v>
      </c>
      <c r="G5" s="10" t="s">
        <v>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6">
        <v>45354.0</v>
      </c>
      <c r="B6" s="7" t="s">
        <v>13</v>
      </c>
      <c r="C6" s="8">
        <v>10000.0</v>
      </c>
      <c r="D6" s="8"/>
      <c r="E6" s="9">
        <f t="shared" si="1"/>
        <v>-10000</v>
      </c>
      <c r="F6" s="11" t="s">
        <v>11</v>
      </c>
      <c r="G6" s="1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.75" customHeight="1">
      <c r="A7" s="6">
        <v>45370.0</v>
      </c>
      <c r="B7" s="7" t="s">
        <v>14</v>
      </c>
      <c r="C7" s="8"/>
      <c r="D7" s="8">
        <v>11295.0</v>
      </c>
      <c r="E7" s="9">
        <f t="shared" si="1"/>
        <v>11295</v>
      </c>
      <c r="F7" s="8" t="s">
        <v>15</v>
      </c>
      <c r="G7" s="1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6">
        <v>45368.0</v>
      </c>
      <c r="B8" s="7" t="s">
        <v>16</v>
      </c>
      <c r="C8" s="8">
        <v>1680.0</v>
      </c>
      <c r="D8" s="8"/>
      <c r="E8" s="9">
        <f t="shared" si="1"/>
        <v>-1680</v>
      </c>
      <c r="F8" s="11" t="s">
        <v>11</v>
      </c>
      <c r="G8" s="10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5.75" customHeight="1">
      <c r="A9" s="12">
        <v>45379.0</v>
      </c>
      <c r="B9" s="7" t="s">
        <v>17</v>
      </c>
      <c r="C9" s="8">
        <v>10000.0</v>
      </c>
      <c r="D9" s="8"/>
      <c r="E9" s="9">
        <f t="shared" si="1"/>
        <v>-10000</v>
      </c>
      <c r="F9" s="8" t="s">
        <v>12</v>
      </c>
      <c r="G9" s="1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.75" customHeight="1">
      <c r="A10" s="12">
        <v>45403.0</v>
      </c>
      <c r="B10" s="7" t="s">
        <v>18</v>
      </c>
      <c r="C10" s="8"/>
      <c r="D10" s="8">
        <v>14530.0</v>
      </c>
      <c r="E10" s="9">
        <f t="shared" si="1"/>
        <v>14530</v>
      </c>
      <c r="F10" s="11" t="s">
        <v>11</v>
      </c>
      <c r="G10" s="1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5.75" customHeight="1">
      <c r="A11" s="12">
        <v>45401.0</v>
      </c>
      <c r="B11" s="7" t="s">
        <v>19</v>
      </c>
      <c r="C11" s="8">
        <v>6300.0</v>
      </c>
      <c r="D11" s="8"/>
      <c r="E11" s="9">
        <f t="shared" si="1"/>
        <v>-6300</v>
      </c>
      <c r="F11" s="11" t="s">
        <v>11</v>
      </c>
      <c r="G11" s="1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5.75" customHeight="1">
      <c r="A12" s="12">
        <v>45411.0</v>
      </c>
      <c r="B12" s="7" t="s">
        <v>20</v>
      </c>
      <c r="C12" s="8">
        <v>10000.0</v>
      </c>
      <c r="D12" s="8"/>
      <c r="E12" s="9">
        <f t="shared" si="1"/>
        <v>-10000</v>
      </c>
      <c r="F12" s="11" t="s">
        <v>11</v>
      </c>
      <c r="G12" s="1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.75" customHeight="1">
      <c r="A13" s="6">
        <v>45432.0</v>
      </c>
      <c r="B13" s="7" t="s">
        <v>21</v>
      </c>
      <c r="C13" s="8"/>
      <c r="D13" s="8">
        <v>16700.0</v>
      </c>
      <c r="E13" s="9">
        <f t="shared" si="1"/>
        <v>16700</v>
      </c>
      <c r="F13" s="8" t="s">
        <v>10</v>
      </c>
      <c r="G13" s="1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A14" s="13">
        <v>45445.0</v>
      </c>
      <c r="B14" s="7" t="s">
        <v>22</v>
      </c>
      <c r="C14" s="8"/>
      <c r="D14" s="8">
        <v>3900.0</v>
      </c>
      <c r="E14" s="9">
        <f t="shared" si="1"/>
        <v>3900</v>
      </c>
      <c r="F14" s="11" t="s">
        <v>11</v>
      </c>
      <c r="G14" s="1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6">
        <v>45443.0</v>
      </c>
      <c r="B15" s="7" t="s">
        <v>23</v>
      </c>
      <c r="C15" s="8">
        <v>4000.0</v>
      </c>
      <c r="D15" s="8"/>
      <c r="E15" s="9">
        <f t="shared" si="1"/>
        <v>-4000</v>
      </c>
      <c r="F15" s="8" t="s">
        <v>10</v>
      </c>
      <c r="G15" s="1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13">
        <v>45463.0</v>
      </c>
      <c r="B16" s="7" t="s">
        <v>24</v>
      </c>
      <c r="C16" s="8"/>
      <c r="D16" s="8">
        <v>18815.0</v>
      </c>
      <c r="E16" s="9">
        <f t="shared" si="1"/>
        <v>18815</v>
      </c>
      <c r="F16" s="8" t="s">
        <v>10</v>
      </c>
      <c r="G16" s="10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.75" customHeight="1">
      <c r="A17" s="13">
        <v>45476.0</v>
      </c>
      <c r="B17" s="7" t="s">
        <v>25</v>
      </c>
      <c r="C17" s="8">
        <v>5000.0</v>
      </c>
      <c r="D17" s="8"/>
      <c r="E17" s="9">
        <f t="shared" si="1"/>
        <v>-5000</v>
      </c>
      <c r="F17" s="11" t="s">
        <v>11</v>
      </c>
      <c r="G17" s="10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5.75" customHeight="1">
      <c r="A18" s="6">
        <v>45494.0</v>
      </c>
      <c r="B18" s="7" t="s">
        <v>26</v>
      </c>
      <c r="C18" s="8"/>
      <c r="D18" s="8">
        <v>10085.0</v>
      </c>
      <c r="E18" s="9">
        <f t="shared" si="1"/>
        <v>10085</v>
      </c>
      <c r="F18" s="8" t="s">
        <v>8</v>
      </c>
      <c r="G18" s="10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5.75" customHeight="1">
      <c r="A19" s="6">
        <v>45503.0</v>
      </c>
      <c r="B19" s="7" t="s">
        <v>27</v>
      </c>
      <c r="C19" s="8">
        <v>13180.0</v>
      </c>
      <c r="D19" s="8"/>
      <c r="E19" s="9">
        <f t="shared" si="1"/>
        <v>-13180</v>
      </c>
      <c r="F19" s="8" t="s">
        <v>12</v>
      </c>
      <c r="G19" s="1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5.75" customHeight="1">
      <c r="A20" s="6">
        <v>45503.0</v>
      </c>
      <c r="B20" s="7" t="s">
        <v>28</v>
      </c>
      <c r="C20" s="8">
        <v>23841.0</v>
      </c>
      <c r="D20" s="8"/>
      <c r="E20" s="9">
        <f t="shared" si="1"/>
        <v>-23841</v>
      </c>
      <c r="F20" s="8" t="s">
        <v>10</v>
      </c>
      <c r="G20" s="10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6">
        <v>45503.0</v>
      </c>
      <c r="B21" s="7" t="s">
        <v>29</v>
      </c>
      <c r="C21" s="8"/>
      <c r="D21" s="8">
        <v>13180.0</v>
      </c>
      <c r="E21" s="9">
        <f t="shared" si="1"/>
        <v>13180</v>
      </c>
      <c r="F21" s="11" t="s">
        <v>11</v>
      </c>
      <c r="G21" s="1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6">
        <v>45503.0</v>
      </c>
      <c r="B22" s="7" t="s">
        <v>30</v>
      </c>
      <c r="C22" s="8"/>
      <c r="D22" s="8">
        <v>23841.0</v>
      </c>
      <c r="E22" s="9">
        <f t="shared" si="1"/>
        <v>23841</v>
      </c>
      <c r="F22" s="11" t="s">
        <v>11</v>
      </c>
      <c r="G22" s="1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13">
        <v>45500.0</v>
      </c>
      <c r="B23" s="7" t="s">
        <v>31</v>
      </c>
      <c r="C23" s="8">
        <v>10000.0</v>
      </c>
      <c r="D23" s="8"/>
      <c r="E23" s="9">
        <f t="shared" si="1"/>
        <v>-10000</v>
      </c>
      <c r="F23" s="11" t="s">
        <v>11</v>
      </c>
      <c r="G23" s="10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14">
        <v>45521.0</v>
      </c>
      <c r="B24" s="7" t="s">
        <v>32</v>
      </c>
      <c r="C24" s="8"/>
      <c r="D24" s="8">
        <v>19755.0</v>
      </c>
      <c r="E24" s="9">
        <f t="shared" si="1"/>
        <v>19755</v>
      </c>
      <c r="F24" s="11" t="s">
        <v>11</v>
      </c>
      <c r="G24" s="1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15">
        <v>45530.0</v>
      </c>
      <c r="B25" s="7" t="s">
        <v>33</v>
      </c>
      <c r="C25" s="8">
        <v>5000.0</v>
      </c>
      <c r="D25" s="8"/>
      <c r="E25" s="9">
        <f t="shared" si="1"/>
        <v>-5000</v>
      </c>
      <c r="F25" s="11" t="s">
        <v>11</v>
      </c>
      <c r="G25" s="1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15">
        <v>45532.0</v>
      </c>
      <c r="B26" s="7" t="s">
        <v>34</v>
      </c>
      <c r="C26" s="8">
        <v>50000.0</v>
      </c>
      <c r="D26" s="8"/>
      <c r="E26" s="9">
        <f t="shared" si="1"/>
        <v>-50000</v>
      </c>
      <c r="F26" s="11" t="s">
        <v>11</v>
      </c>
      <c r="G26" s="1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15">
        <v>45557.0</v>
      </c>
      <c r="B27" s="7" t="s">
        <v>35</v>
      </c>
      <c r="C27" s="8"/>
      <c r="D27" s="8">
        <v>11880.0</v>
      </c>
      <c r="E27" s="9">
        <f t="shared" si="1"/>
        <v>11880</v>
      </c>
      <c r="F27" s="11" t="s">
        <v>36</v>
      </c>
      <c r="G27" s="1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A28" s="14">
        <v>45563.0</v>
      </c>
      <c r="B28" s="16" t="s">
        <v>37</v>
      </c>
      <c r="C28" s="11">
        <v>10000.0</v>
      </c>
      <c r="D28" s="8"/>
      <c r="E28" s="9">
        <f t="shared" si="1"/>
        <v>-10000</v>
      </c>
      <c r="F28" s="11" t="s">
        <v>8</v>
      </c>
      <c r="G28" s="1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14">
        <v>45585.0</v>
      </c>
      <c r="B29" s="16" t="s">
        <v>38</v>
      </c>
      <c r="C29" s="8"/>
      <c r="D29" s="11">
        <v>17900.0</v>
      </c>
      <c r="E29" s="9">
        <f t="shared" si="1"/>
        <v>17900</v>
      </c>
      <c r="F29" s="11" t="s">
        <v>39</v>
      </c>
      <c r="G29" s="10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14">
        <v>45590.0</v>
      </c>
      <c r="B30" s="16" t="s">
        <v>40</v>
      </c>
      <c r="C30" s="11">
        <v>10000.0</v>
      </c>
      <c r="D30" s="8"/>
      <c r="E30" s="9">
        <f t="shared" si="1"/>
        <v>-10000</v>
      </c>
      <c r="F30" s="11" t="s">
        <v>39</v>
      </c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14">
        <v>45595.0</v>
      </c>
      <c r="B31" s="16" t="s">
        <v>41</v>
      </c>
      <c r="C31" s="11">
        <v>20000.0</v>
      </c>
      <c r="D31" s="8"/>
      <c r="E31" s="9">
        <f t="shared" si="1"/>
        <v>-20000</v>
      </c>
      <c r="F31" s="11" t="s">
        <v>8</v>
      </c>
      <c r="G31" s="1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A32" s="14">
        <v>45614.0</v>
      </c>
      <c r="B32" s="16" t="s">
        <v>42</v>
      </c>
      <c r="C32" s="8"/>
      <c r="D32" s="11">
        <v>20385.0</v>
      </c>
      <c r="E32" s="9">
        <f t="shared" si="1"/>
        <v>20385</v>
      </c>
      <c r="F32" s="11" t="s">
        <v>11</v>
      </c>
      <c r="G32" s="10"/>
      <c r="H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14">
        <v>45621.0</v>
      </c>
      <c r="B33" s="16" t="s">
        <v>43</v>
      </c>
      <c r="C33" s="11">
        <v>8000.0</v>
      </c>
      <c r="D33" s="8"/>
      <c r="E33" s="9">
        <f t="shared" si="1"/>
        <v>-8000</v>
      </c>
      <c r="F33" s="11" t="s">
        <v>10</v>
      </c>
      <c r="G33" s="10"/>
      <c r="H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A34" s="14">
        <v>45621.0</v>
      </c>
      <c r="B34" s="16" t="s">
        <v>44</v>
      </c>
      <c r="C34" s="8"/>
      <c r="D34" s="11">
        <v>8000.0</v>
      </c>
      <c r="E34" s="9">
        <f t="shared" si="1"/>
        <v>8000</v>
      </c>
      <c r="F34" s="11" t="s">
        <v>8</v>
      </c>
      <c r="G34" s="10"/>
      <c r="H34" s="5"/>
      <c r="K34" s="1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A35" s="14">
        <v>45626.0</v>
      </c>
      <c r="B35" s="16" t="s">
        <v>45</v>
      </c>
      <c r="C35" s="11">
        <v>10000.0</v>
      </c>
      <c r="D35" s="8"/>
      <c r="E35" s="9">
        <f t="shared" si="1"/>
        <v>-10000</v>
      </c>
      <c r="F35" s="11" t="s">
        <v>11</v>
      </c>
      <c r="G35" s="10"/>
      <c r="H35" s="5"/>
      <c r="K35" s="1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A36" s="18">
        <v>45649.0</v>
      </c>
      <c r="B36" s="16" t="s">
        <v>46</v>
      </c>
      <c r="C36" s="8"/>
      <c r="D36" s="11">
        <v>46005.0</v>
      </c>
      <c r="E36" s="9">
        <f t="shared" si="1"/>
        <v>46005</v>
      </c>
      <c r="F36" s="11" t="s">
        <v>47</v>
      </c>
      <c r="G36" s="10"/>
      <c r="H36" s="5"/>
      <c r="K36" s="1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18">
        <v>45678.0</v>
      </c>
      <c r="B37" s="16" t="s">
        <v>48</v>
      </c>
      <c r="C37" s="8"/>
      <c r="D37" s="11">
        <v>13600.0</v>
      </c>
      <c r="E37" s="9">
        <f t="shared" si="1"/>
        <v>13600</v>
      </c>
      <c r="F37" s="11" t="s">
        <v>49</v>
      </c>
      <c r="G37" s="10"/>
      <c r="H37" s="5"/>
      <c r="K37" s="1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18">
        <v>45680.0</v>
      </c>
      <c r="B38" s="16" t="s">
        <v>50</v>
      </c>
      <c r="C38" s="11">
        <v>10000.0</v>
      </c>
      <c r="D38" s="8"/>
      <c r="E38" s="9">
        <f t="shared" si="1"/>
        <v>-10000</v>
      </c>
      <c r="F38" s="11" t="s">
        <v>47</v>
      </c>
      <c r="G38" s="10"/>
      <c r="H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18">
        <v>45712.0</v>
      </c>
      <c r="B39" s="16" t="s">
        <v>51</v>
      </c>
      <c r="C39" s="8"/>
      <c r="D39" s="11">
        <v>21500.0</v>
      </c>
      <c r="E39" s="9">
        <f t="shared" si="1"/>
        <v>21500</v>
      </c>
      <c r="F39" s="11" t="s">
        <v>52</v>
      </c>
      <c r="G39" s="10"/>
      <c r="H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18">
        <v>45713.0</v>
      </c>
      <c r="B40" s="16" t="s">
        <v>53</v>
      </c>
      <c r="C40" s="11">
        <v>20000.0</v>
      </c>
      <c r="D40" s="8"/>
      <c r="E40" s="9">
        <f t="shared" si="1"/>
        <v>-20000</v>
      </c>
      <c r="F40" s="11" t="s">
        <v>47</v>
      </c>
      <c r="G40" s="10"/>
      <c r="H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A41" s="18">
        <v>45720.0</v>
      </c>
      <c r="B41" s="16" t="s">
        <v>54</v>
      </c>
      <c r="C41" s="11">
        <v>8112.0</v>
      </c>
      <c r="D41" s="8"/>
      <c r="E41" s="9">
        <f t="shared" si="1"/>
        <v>-8112</v>
      </c>
      <c r="F41" s="11" t="s">
        <v>11</v>
      </c>
      <c r="G41" s="10"/>
      <c r="H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A42" s="18">
        <v>45722.0</v>
      </c>
      <c r="B42" s="16" t="s">
        <v>55</v>
      </c>
      <c r="C42" s="11">
        <v>9440.0</v>
      </c>
      <c r="D42" s="8"/>
      <c r="E42" s="9">
        <f t="shared" si="1"/>
        <v>-9440</v>
      </c>
      <c r="F42" s="11" t="s">
        <v>15</v>
      </c>
      <c r="G42" s="10"/>
      <c r="H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18">
        <v>45728.0</v>
      </c>
      <c r="B43" s="16" t="s">
        <v>56</v>
      </c>
      <c r="C43" s="11">
        <v>7900.0</v>
      </c>
      <c r="D43" s="8"/>
      <c r="E43" s="9">
        <f t="shared" si="1"/>
        <v>-7900</v>
      </c>
      <c r="F43" s="11" t="s">
        <v>39</v>
      </c>
      <c r="G43" s="10"/>
      <c r="H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18">
        <v>45728.0</v>
      </c>
      <c r="B44" s="16" t="s">
        <v>57</v>
      </c>
      <c r="C44" s="8"/>
      <c r="D44" s="11">
        <v>7900.0</v>
      </c>
      <c r="E44" s="9">
        <f t="shared" si="1"/>
        <v>7900</v>
      </c>
      <c r="F44" s="11" t="s">
        <v>11</v>
      </c>
      <c r="G44" s="10"/>
      <c r="H44" s="5"/>
      <c r="K44" s="17"/>
      <c r="L44" s="2" t="s">
        <v>58</v>
      </c>
      <c r="M44" s="2" t="s">
        <v>59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18">
        <v>45740.0</v>
      </c>
      <c r="B45" s="16" t="s">
        <v>60</v>
      </c>
      <c r="C45" s="11"/>
      <c r="D45" s="11">
        <v>151.0</v>
      </c>
      <c r="E45" s="9">
        <f t="shared" si="1"/>
        <v>151</v>
      </c>
      <c r="F45" s="11" t="s">
        <v>8</v>
      </c>
      <c r="G45" s="10"/>
      <c r="H45" s="5"/>
      <c r="I45" s="5"/>
      <c r="J45" s="5"/>
      <c r="K45" s="5"/>
      <c r="L45" s="7" t="s">
        <v>61</v>
      </c>
      <c r="M45" s="7" t="s">
        <v>15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18">
        <v>45740.0</v>
      </c>
      <c r="B46" s="16" t="s">
        <v>62</v>
      </c>
      <c r="C46" s="11">
        <v>151.0</v>
      </c>
      <c r="D46" s="8"/>
      <c r="E46" s="9">
        <f t="shared" si="1"/>
        <v>-151</v>
      </c>
      <c r="F46" s="11" t="s">
        <v>11</v>
      </c>
      <c r="G46" s="10"/>
      <c r="H46" s="5"/>
      <c r="I46" s="5"/>
      <c r="J46" s="5"/>
      <c r="K46" s="5"/>
      <c r="L46" s="7" t="s">
        <v>63</v>
      </c>
      <c r="M46" s="16" t="s">
        <v>11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18">
        <v>45740.0</v>
      </c>
      <c r="B47" s="16" t="s">
        <v>64</v>
      </c>
      <c r="C47" s="8"/>
      <c r="D47" s="11">
        <v>-16644.0</v>
      </c>
      <c r="E47" s="9">
        <f t="shared" si="1"/>
        <v>-16644</v>
      </c>
      <c r="F47" s="11" t="s">
        <v>11</v>
      </c>
      <c r="G47" s="10"/>
      <c r="H47" s="5"/>
      <c r="I47" s="19"/>
      <c r="J47" s="19"/>
      <c r="K47" s="5"/>
      <c r="L47" s="7" t="s">
        <v>65</v>
      </c>
      <c r="M47" s="7" t="s">
        <v>10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A48" s="18">
        <v>45740.0</v>
      </c>
      <c r="B48" s="16" t="s">
        <v>66</v>
      </c>
      <c r="C48" s="11">
        <v>5800.0</v>
      </c>
      <c r="D48" s="11"/>
      <c r="E48" s="9">
        <f t="shared" si="1"/>
        <v>-5800</v>
      </c>
      <c r="F48" s="11" t="s">
        <v>52</v>
      </c>
      <c r="G48" s="10"/>
      <c r="H48" s="5"/>
      <c r="I48" s="5"/>
      <c r="J48" s="5"/>
      <c r="K48" s="5"/>
      <c r="L48" s="7" t="s">
        <v>67</v>
      </c>
      <c r="M48" s="16" t="s">
        <v>11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18">
        <v>45740.0</v>
      </c>
      <c r="B49" s="16" t="s">
        <v>68</v>
      </c>
      <c r="C49" s="11">
        <v>13150.0</v>
      </c>
      <c r="D49" s="8"/>
      <c r="E49" s="9">
        <f t="shared" si="1"/>
        <v>-13150</v>
      </c>
      <c r="F49" s="11" t="s">
        <v>36</v>
      </c>
      <c r="G49" s="10"/>
      <c r="H49" s="5"/>
      <c r="I49" s="5"/>
      <c r="J49" s="5"/>
      <c r="K49" s="5"/>
      <c r="L49" s="7" t="s">
        <v>69</v>
      </c>
      <c r="M49" s="7" t="s">
        <v>10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18">
        <v>45740.0</v>
      </c>
      <c r="B50" s="16" t="s">
        <v>70</v>
      </c>
      <c r="C50" s="11">
        <v>2000.0</v>
      </c>
      <c r="D50" s="8"/>
      <c r="E50" s="9">
        <f t="shared" si="1"/>
        <v>-2000</v>
      </c>
      <c r="F50" s="11" t="s">
        <v>47</v>
      </c>
      <c r="G50" s="10"/>
      <c r="H50" s="5"/>
      <c r="I50" s="5"/>
      <c r="J50" s="5"/>
      <c r="K50" s="5"/>
      <c r="L50" s="7" t="s">
        <v>71</v>
      </c>
      <c r="M50" s="7" t="s">
        <v>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18">
        <v>45755.0</v>
      </c>
      <c r="B51" s="16" t="s">
        <v>72</v>
      </c>
      <c r="C51" s="11">
        <v>15000.0</v>
      </c>
      <c r="D51" s="8"/>
      <c r="E51" s="9">
        <f t="shared" si="1"/>
        <v>-15000</v>
      </c>
      <c r="F51" s="11" t="s">
        <v>52</v>
      </c>
      <c r="G51" s="10"/>
      <c r="H51" s="5"/>
      <c r="I51" s="5"/>
      <c r="J51" s="5"/>
      <c r="K51" s="5"/>
      <c r="L51" s="7" t="s">
        <v>73</v>
      </c>
      <c r="M51" s="16" t="s">
        <v>11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18">
        <v>45768.0</v>
      </c>
      <c r="B52" s="16" t="s">
        <v>74</v>
      </c>
      <c r="C52" s="8"/>
      <c r="D52" s="11">
        <v>24164.0</v>
      </c>
      <c r="E52" s="9">
        <f t="shared" si="1"/>
        <v>24164</v>
      </c>
      <c r="F52" s="11" t="s">
        <v>36</v>
      </c>
      <c r="G52" s="10"/>
      <c r="H52" s="5"/>
      <c r="I52" s="5"/>
      <c r="J52" s="5"/>
      <c r="K52" s="5"/>
      <c r="L52" s="7" t="s">
        <v>75</v>
      </c>
      <c r="M52" s="16" t="s">
        <v>36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18">
        <v>45796.0</v>
      </c>
      <c r="B53" s="16" t="s">
        <v>76</v>
      </c>
      <c r="C53" s="8"/>
      <c r="D53" s="11">
        <v>8875.0</v>
      </c>
      <c r="E53" s="9">
        <f t="shared" si="1"/>
        <v>8875</v>
      </c>
      <c r="F53" s="11" t="s">
        <v>52</v>
      </c>
      <c r="G53" s="10"/>
      <c r="H53" s="5"/>
      <c r="I53" s="5"/>
      <c r="J53" s="5"/>
      <c r="K53" s="5"/>
      <c r="L53" s="7" t="s">
        <v>77</v>
      </c>
      <c r="M53" s="16" t="s">
        <v>39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18">
        <v>45812.0</v>
      </c>
      <c r="B54" s="16" t="s">
        <v>78</v>
      </c>
      <c r="C54" s="11">
        <v>10000.0</v>
      </c>
      <c r="D54" s="8"/>
      <c r="E54" s="9">
        <f t="shared" si="1"/>
        <v>-10000</v>
      </c>
      <c r="F54" s="11" t="s">
        <v>47</v>
      </c>
      <c r="G54" s="10"/>
      <c r="H54" s="5"/>
      <c r="I54" s="5"/>
      <c r="J54" s="5"/>
      <c r="K54" s="5"/>
      <c r="L54" s="7" t="s">
        <v>79</v>
      </c>
      <c r="M54" s="16" t="s">
        <v>11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18">
        <v>45830.0</v>
      </c>
      <c r="B55" s="16" t="s">
        <v>80</v>
      </c>
      <c r="C55" s="8"/>
      <c r="D55" s="11">
        <v>18445.0</v>
      </c>
      <c r="E55" s="9">
        <f t="shared" si="1"/>
        <v>18445</v>
      </c>
      <c r="F55" s="11" t="s">
        <v>11</v>
      </c>
      <c r="G55" s="10"/>
      <c r="H55" s="5"/>
      <c r="I55" s="5"/>
      <c r="J55" s="5"/>
      <c r="K55" s="5"/>
      <c r="L55" s="7" t="s">
        <v>81</v>
      </c>
      <c r="M55" s="16" t="s">
        <v>47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18">
        <v>45842.0</v>
      </c>
      <c r="B56" s="16" t="s">
        <v>82</v>
      </c>
      <c r="C56" s="11">
        <v>5000.0</v>
      </c>
      <c r="D56" s="8"/>
      <c r="E56" s="9">
        <f t="shared" si="1"/>
        <v>-5000</v>
      </c>
      <c r="F56" s="11" t="s">
        <v>11</v>
      </c>
      <c r="G56" s="10"/>
      <c r="H56" s="5"/>
      <c r="I56" s="5"/>
      <c r="J56" s="17"/>
      <c r="K56" s="5"/>
      <c r="L56" s="7" t="s">
        <v>83</v>
      </c>
      <c r="M56" s="16" t="s">
        <v>49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18">
        <v>45842.0</v>
      </c>
      <c r="B57" s="16" t="s">
        <v>84</v>
      </c>
      <c r="C57" s="11">
        <v>1000.0</v>
      </c>
      <c r="D57" s="8"/>
      <c r="E57" s="9">
        <f t="shared" si="1"/>
        <v>-1000</v>
      </c>
      <c r="F57" s="11" t="s">
        <v>11</v>
      </c>
      <c r="G57" s="10"/>
      <c r="H57" s="5"/>
      <c r="I57" s="5"/>
      <c r="J57" s="17"/>
      <c r="K57" s="5"/>
      <c r="L57" s="7" t="s">
        <v>85</v>
      </c>
      <c r="M57" s="16" t="s">
        <v>52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18">
        <v>45858.0</v>
      </c>
      <c r="B58" s="16" t="s">
        <v>86</v>
      </c>
      <c r="C58" s="8"/>
      <c r="D58" s="11">
        <v>17170.0</v>
      </c>
      <c r="E58" s="9">
        <f t="shared" si="1"/>
        <v>17170</v>
      </c>
      <c r="F58" s="11" t="s">
        <v>36</v>
      </c>
      <c r="G58" s="10"/>
      <c r="H58" s="5"/>
      <c r="I58" s="5"/>
      <c r="J58" s="17"/>
      <c r="K58" s="5"/>
      <c r="L58" s="16" t="s">
        <v>87</v>
      </c>
      <c r="M58" s="16" t="s">
        <v>11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18">
        <v>45874.0</v>
      </c>
      <c r="B59" s="16" t="s">
        <v>88</v>
      </c>
      <c r="C59" s="11">
        <v>5000.0</v>
      </c>
      <c r="D59" s="8"/>
      <c r="E59" s="9">
        <f t="shared" si="1"/>
        <v>-5000</v>
      </c>
      <c r="F59" s="11" t="s">
        <v>89</v>
      </c>
      <c r="G59" s="10"/>
      <c r="H59" s="5"/>
      <c r="I59" s="5"/>
      <c r="J59" s="17"/>
      <c r="K59" s="5"/>
      <c r="L59" s="16" t="s">
        <v>90</v>
      </c>
      <c r="M59" s="16" t="s">
        <v>36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18">
        <v>45888.0</v>
      </c>
      <c r="B60" s="16" t="s">
        <v>91</v>
      </c>
      <c r="C60" s="8"/>
      <c r="D60" s="11">
        <v>15902.0</v>
      </c>
      <c r="E60" s="9">
        <f t="shared" si="1"/>
        <v>15902</v>
      </c>
      <c r="F60" s="11" t="s">
        <v>49</v>
      </c>
      <c r="G60" s="10"/>
      <c r="H60" s="5"/>
      <c r="I60" s="5"/>
      <c r="J60" s="17"/>
      <c r="K60" s="5"/>
      <c r="L60" s="16" t="s">
        <v>92</v>
      </c>
      <c r="M60" s="16" t="s">
        <v>52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18">
        <v>45924.0</v>
      </c>
      <c r="B61" s="16" t="s">
        <v>93</v>
      </c>
      <c r="C61" s="8"/>
      <c r="D61" s="11">
        <v>8565.0</v>
      </c>
      <c r="E61" s="9">
        <f t="shared" si="1"/>
        <v>8565</v>
      </c>
      <c r="F61" s="11" t="s">
        <v>11</v>
      </c>
      <c r="G61" s="10"/>
      <c r="H61" s="5"/>
      <c r="I61" s="20" t="s">
        <v>94</v>
      </c>
      <c r="J61" s="21"/>
      <c r="K61" s="5"/>
      <c r="L61" s="16" t="s">
        <v>95</v>
      </c>
      <c r="M61" s="16" t="s">
        <v>11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18">
        <v>45931.0</v>
      </c>
      <c r="B62" s="16" t="s">
        <v>96</v>
      </c>
      <c r="C62" s="11">
        <v>5000.0</v>
      </c>
      <c r="D62" s="8"/>
      <c r="E62" s="9">
        <f t="shared" si="1"/>
        <v>-5000</v>
      </c>
      <c r="F62" s="11" t="s">
        <v>97</v>
      </c>
      <c r="G62" s="10"/>
      <c r="H62" s="5"/>
      <c r="I62" s="16" t="s">
        <v>11</v>
      </c>
      <c r="J62" s="22">
        <f>SUMIFS(E1:E300, F1:F300, I62)</f>
        <v>25356</v>
      </c>
      <c r="K62" s="5"/>
      <c r="L62" s="16" t="s">
        <v>98</v>
      </c>
      <c r="M62" s="16" t="s">
        <v>11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18">
        <v>45932.0</v>
      </c>
      <c r="B63" s="16" t="s">
        <v>99</v>
      </c>
      <c r="C63" s="11">
        <v>10000.0</v>
      </c>
      <c r="D63" s="8"/>
      <c r="E63" s="9">
        <f t="shared" si="1"/>
        <v>-10000</v>
      </c>
      <c r="F63" s="11" t="s">
        <v>11</v>
      </c>
      <c r="G63" s="10"/>
      <c r="H63" s="5"/>
      <c r="I63" s="16" t="s">
        <v>52</v>
      </c>
      <c r="J63" s="22">
        <f>SUMIFS(E1:E300, F1:F300, I63)</f>
        <v>9575</v>
      </c>
      <c r="K63" s="5"/>
      <c r="L63" s="16" t="s">
        <v>100</v>
      </c>
      <c r="M63" s="23" t="s">
        <v>36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18">
        <v>45958.0</v>
      </c>
      <c r="B64" s="16" t="s">
        <v>101</v>
      </c>
      <c r="C64" s="11">
        <v>5000.0</v>
      </c>
      <c r="D64" s="8"/>
      <c r="E64" s="9">
        <f t="shared" si="1"/>
        <v>-5000</v>
      </c>
      <c r="F64" s="11" t="s">
        <v>11</v>
      </c>
      <c r="G64" s="10"/>
      <c r="H64" s="5"/>
      <c r="I64" s="24" t="s">
        <v>36</v>
      </c>
      <c r="J64" s="22">
        <f>SUMIFS(E1:E300, F1:F300, I64)</f>
        <v>25064</v>
      </c>
      <c r="K64" s="5"/>
      <c r="L64" s="16" t="s">
        <v>102</v>
      </c>
      <c r="M64" s="16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18">
        <v>45958.0</v>
      </c>
      <c r="B65" s="16" t="s">
        <v>103</v>
      </c>
      <c r="C65" s="8"/>
      <c r="D65" s="11">
        <v>5000.0</v>
      </c>
      <c r="E65" s="9">
        <f t="shared" si="1"/>
        <v>5000</v>
      </c>
      <c r="F65" s="11" t="s">
        <v>97</v>
      </c>
      <c r="G65" s="10"/>
      <c r="H65" s="5"/>
      <c r="I65" s="24" t="s">
        <v>47</v>
      </c>
      <c r="J65" s="22">
        <f t="shared" ref="J65:J66" si="2">SUMIFS(E1:E300, F1:F300, I65)</f>
        <v>16655</v>
      </c>
      <c r="K65" s="5"/>
      <c r="L65" s="16" t="s">
        <v>104</v>
      </c>
      <c r="M65" s="16" t="s">
        <v>11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A66" s="18">
        <v>45958.0</v>
      </c>
      <c r="B66" s="16" t="s">
        <v>105</v>
      </c>
      <c r="C66" s="8"/>
      <c r="D66" s="11">
        <v>17004.0</v>
      </c>
      <c r="E66" s="9">
        <f t="shared" si="1"/>
        <v>17004</v>
      </c>
      <c r="F66" s="11" t="s">
        <v>89</v>
      </c>
      <c r="G66" s="10"/>
      <c r="H66" s="5"/>
      <c r="I66" s="24" t="s">
        <v>49</v>
      </c>
      <c r="J66" s="22">
        <f t="shared" si="2"/>
        <v>9502</v>
      </c>
      <c r="K66" s="5"/>
      <c r="L66" s="16" t="s">
        <v>106</v>
      </c>
      <c r="M66" s="16" t="s">
        <v>89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18">
        <v>45968.0</v>
      </c>
      <c r="B67" s="16" t="s">
        <v>107</v>
      </c>
      <c r="C67" s="11">
        <v>5800.0</v>
      </c>
      <c r="D67" s="8"/>
      <c r="E67" s="9">
        <f t="shared" si="1"/>
        <v>-5800</v>
      </c>
      <c r="F67" s="11" t="s">
        <v>89</v>
      </c>
      <c r="G67" s="10"/>
      <c r="H67" s="5"/>
      <c r="I67" s="25" t="s">
        <v>89</v>
      </c>
      <c r="J67" s="22">
        <f>SUMIFS(E2:E301, F2:F301, I67)</f>
        <v>6204</v>
      </c>
      <c r="K67" s="5"/>
      <c r="L67" s="16" t="s">
        <v>108</v>
      </c>
      <c r="M67" s="16" t="s">
        <v>11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A68" s="18">
        <v>45989.0</v>
      </c>
      <c r="B68" s="16" t="s">
        <v>109</v>
      </c>
      <c r="C68" s="8"/>
      <c r="D68" s="11">
        <v>9116.0</v>
      </c>
      <c r="E68" s="9">
        <f t="shared" si="1"/>
        <v>9116</v>
      </c>
      <c r="F68" s="11" t="s">
        <v>11</v>
      </c>
      <c r="G68" s="10"/>
      <c r="H68" s="5"/>
      <c r="I68" s="24" t="s">
        <v>15</v>
      </c>
      <c r="J68" s="22">
        <f>SUMIFS(E2:E301, F2:F301, I68)</f>
        <v>1855</v>
      </c>
      <c r="K68" s="5"/>
      <c r="L68" s="16" t="s">
        <v>110</v>
      </c>
      <c r="M68" s="16" t="s">
        <v>111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A69" s="18">
        <v>45991.0</v>
      </c>
      <c r="B69" s="16" t="s">
        <v>112</v>
      </c>
      <c r="C69" s="11">
        <v>10000.0</v>
      </c>
      <c r="D69" s="8"/>
      <c r="E69" s="9">
        <f t="shared" si="1"/>
        <v>-10000</v>
      </c>
      <c r="F69" s="11" t="s">
        <v>49</v>
      </c>
      <c r="G69" s="10"/>
      <c r="H69" s="5"/>
      <c r="I69" s="25" t="s">
        <v>111</v>
      </c>
      <c r="J69" s="22">
        <f>SUMIFS(E2:E301, F2:F301, I69)</f>
        <v>12255</v>
      </c>
      <c r="K69" s="5"/>
      <c r="L69" s="16" t="s">
        <v>113</v>
      </c>
      <c r="M69" s="16" t="s">
        <v>47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18">
        <v>46012.0</v>
      </c>
      <c r="B70" s="16" t="s">
        <v>114</v>
      </c>
      <c r="C70" s="8"/>
      <c r="D70" s="11">
        <v>12255.0</v>
      </c>
      <c r="E70" s="9">
        <f t="shared" si="1"/>
        <v>12255</v>
      </c>
      <c r="F70" s="11" t="s">
        <v>111</v>
      </c>
      <c r="G70" s="10"/>
      <c r="H70" s="5"/>
      <c r="I70" s="24"/>
      <c r="J70" s="22">
        <f>SUMIFS(E2:E301, F2:F301, I70)</f>
        <v>0</v>
      </c>
      <c r="K70" s="5"/>
      <c r="L70" s="16" t="s">
        <v>115</v>
      </c>
      <c r="M70" s="16" t="s">
        <v>11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18">
        <v>46028.0</v>
      </c>
      <c r="B71" s="16" t="s">
        <v>116</v>
      </c>
      <c r="C71" s="11">
        <v>15000.0</v>
      </c>
      <c r="D71" s="8"/>
      <c r="E71" s="9">
        <f t="shared" si="1"/>
        <v>-15000</v>
      </c>
      <c r="F71" s="11" t="s">
        <v>36</v>
      </c>
      <c r="G71" s="10"/>
      <c r="H71" s="5"/>
      <c r="I71" s="26"/>
      <c r="J71" s="22">
        <f>SUMIFS(E2:E301, F2:F301, I71)</f>
        <v>0</v>
      </c>
      <c r="K71" s="5"/>
      <c r="L71" s="16"/>
      <c r="M71" s="1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18">
        <v>46050.0</v>
      </c>
      <c r="B72" s="16" t="s">
        <v>117</v>
      </c>
      <c r="C72" s="8"/>
      <c r="D72" s="11">
        <v>12650.0</v>
      </c>
      <c r="E72" s="9">
        <f t="shared" si="1"/>
        <v>12650</v>
      </c>
      <c r="F72" s="11" t="s">
        <v>47</v>
      </c>
      <c r="G72" s="10"/>
      <c r="H72" s="5"/>
      <c r="I72" s="26"/>
      <c r="J72" s="22">
        <f>SUMIFS(E2:E301, F2:F301, TRIM(I72))</f>
        <v>0</v>
      </c>
      <c r="K72" s="5"/>
      <c r="L72" s="16"/>
      <c r="M72" s="1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27">
        <v>46060.0</v>
      </c>
      <c r="B73" s="16" t="s">
        <v>118</v>
      </c>
      <c r="C73" s="11">
        <v>10000.0</v>
      </c>
      <c r="D73" s="8"/>
      <c r="E73" s="9">
        <f t="shared" si="1"/>
        <v>-10000</v>
      </c>
      <c r="F73" s="11" t="s">
        <v>49</v>
      </c>
      <c r="G73" s="10"/>
      <c r="H73" s="5"/>
      <c r="I73" s="28" t="s">
        <v>119</v>
      </c>
      <c r="J73" s="29">
        <f>SUM(J62:J72)</f>
        <v>106466</v>
      </c>
      <c r="K73" s="5"/>
      <c r="L73" s="16"/>
      <c r="M73" s="1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18">
        <v>46076.0</v>
      </c>
      <c r="B74" s="16" t="s">
        <v>120</v>
      </c>
      <c r="C74" s="8"/>
      <c r="D74" s="11">
        <v>24120.0</v>
      </c>
      <c r="E74" s="9">
        <f t="shared" si="1"/>
        <v>24120</v>
      </c>
      <c r="F74" s="11" t="s">
        <v>11</v>
      </c>
      <c r="G74" s="10"/>
      <c r="H74" s="5"/>
      <c r="I74" s="5"/>
      <c r="J74" s="5"/>
      <c r="K74" s="5"/>
      <c r="L74" s="16"/>
      <c r="M74" s="1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8"/>
      <c r="B75" s="7"/>
      <c r="C75" s="8"/>
      <c r="D75" s="8"/>
      <c r="E75" s="9">
        <f t="shared" si="1"/>
        <v>0</v>
      </c>
      <c r="F75" s="8"/>
      <c r="G75" s="10"/>
      <c r="H75" s="5"/>
      <c r="I75" s="5"/>
      <c r="J75" s="5"/>
      <c r="K75" s="5"/>
      <c r="L75" s="16"/>
      <c r="M75" s="1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8"/>
      <c r="B76" s="7"/>
      <c r="C76" s="8"/>
      <c r="D76" s="8"/>
      <c r="E76" s="9">
        <f t="shared" si="1"/>
        <v>0</v>
      </c>
      <c r="F76" s="8"/>
      <c r="G76" s="10"/>
      <c r="H76" s="5"/>
      <c r="I76" s="5"/>
      <c r="J76" s="5"/>
      <c r="K76" s="5"/>
      <c r="L76" s="16"/>
      <c r="M76" s="1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8"/>
      <c r="B77" s="7"/>
      <c r="C77" s="8"/>
      <c r="D77" s="8"/>
      <c r="E77" s="9">
        <f t="shared" si="1"/>
        <v>0</v>
      </c>
      <c r="F77" s="8"/>
      <c r="G77" s="10"/>
      <c r="H77" s="5"/>
      <c r="I77" s="5"/>
      <c r="J77" s="5"/>
      <c r="K77" s="5"/>
      <c r="L77" s="16"/>
      <c r="M77" s="1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8"/>
      <c r="B78" s="7"/>
      <c r="C78" s="8"/>
      <c r="D78" s="8"/>
      <c r="E78" s="9">
        <f t="shared" si="1"/>
        <v>0</v>
      </c>
      <c r="F78" s="8"/>
      <c r="G78" s="10"/>
      <c r="H78" s="5"/>
      <c r="I78" s="5"/>
      <c r="J78" s="5"/>
      <c r="K78" s="5"/>
      <c r="L78" s="16"/>
      <c r="M78" s="1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8"/>
      <c r="B79" s="7"/>
      <c r="C79" s="8"/>
      <c r="D79" s="8"/>
      <c r="E79" s="9">
        <f t="shared" si="1"/>
        <v>0</v>
      </c>
      <c r="F79" s="8"/>
      <c r="G79" s="10"/>
      <c r="H79" s="5"/>
      <c r="I79" s="5"/>
      <c r="J79" s="5"/>
      <c r="K79" s="5"/>
      <c r="L79" s="5"/>
      <c r="M79" s="17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8"/>
      <c r="B80" s="7"/>
      <c r="C80" s="8"/>
      <c r="D80" s="8"/>
      <c r="E80" s="9">
        <f t="shared" si="1"/>
        <v>0</v>
      </c>
      <c r="F80" s="8"/>
      <c r="G80" s="10"/>
      <c r="H80" s="5"/>
      <c r="I80" s="5"/>
      <c r="J80" s="5"/>
      <c r="K80" s="5"/>
      <c r="L80" s="5"/>
      <c r="M80" s="17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8"/>
      <c r="B81" s="7"/>
      <c r="C81" s="8"/>
      <c r="D81" s="8"/>
      <c r="E81" s="9">
        <f t="shared" si="1"/>
        <v>0</v>
      </c>
      <c r="F81" s="8"/>
      <c r="G81" s="10"/>
      <c r="H81" s="5"/>
      <c r="I81" s="5"/>
      <c r="J81" s="5"/>
      <c r="K81" s="5"/>
      <c r="L81" s="5"/>
      <c r="M81" s="17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8"/>
      <c r="B82" s="7"/>
      <c r="C82" s="8"/>
      <c r="D82" s="8"/>
      <c r="E82" s="9">
        <f t="shared" si="1"/>
        <v>0</v>
      </c>
      <c r="F82" s="8"/>
      <c r="G82" s="10"/>
      <c r="H82" s="5"/>
      <c r="I82" s="5"/>
      <c r="J82" s="5"/>
      <c r="K82" s="5"/>
      <c r="L82" s="5"/>
      <c r="M82" s="17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8"/>
      <c r="B83" s="7"/>
      <c r="C83" s="8"/>
      <c r="D83" s="8"/>
      <c r="E83" s="9">
        <f t="shared" si="1"/>
        <v>0</v>
      </c>
      <c r="F83" s="8"/>
      <c r="G83" s="10"/>
      <c r="H83" s="5"/>
      <c r="I83" s="5"/>
      <c r="J83" s="5"/>
      <c r="K83" s="5"/>
      <c r="L83" s="5"/>
      <c r="M83" s="17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8"/>
      <c r="B84" s="7"/>
      <c r="C84" s="8"/>
      <c r="D84" s="8"/>
      <c r="E84" s="9">
        <f t="shared" si="1"/>
        <v>0</v>
      </c>
      <c r="F84" s="8"/>
      <c r="G84" s="10"/>
      <c r="H84" s="5"/>
      <c r="I84" s="5"/>
      <c r="J84" s="5"/>
      <c r="K84" s="5"/>
      <c r="L84" s="17"/>
      <c r="M84" s="17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8"/>
      <c r="B85" s="7"/>
      <c r="C85" s="8"/>
      <c r="D85" s="8"/>
      <c r="E85" s="9">
        <f t="shared" si="1"/>
        <v>0</v>
      </c>
      <c r="F85" s="8"/>
      <c r="G85" s="10"/>
      <c r="H85" s="5"/>
      <c r="I85" s="5"/>
      <c r="J85" s="5"/>
      <c r="K85" s="5"/>
      <c r="L85" s="17"/>
      <c r="M85" s="17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8"/>
      <c r="B86" s="7"/>
      <c r="C86" s="8"/>
      <c r="D86" s="8"/>
      <c r="E86" s="9">
        <f t="shared" si="1"/>
        <v>0</v>
      </c>
      <c r="F86" s="8"/>
      <c r="G86" s="10"/>
      <c r="H86" s="5"/>
      <c r="I86" s="5"/>
      <c r="J86" s="5"/>
      <c r="K86" s="5"/>
      <c r="L86" s="17"/>
      <c r="M86" s="17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8"/>
      <c r="B87" s="7"/>
      <c r="C87" s="8"/>
      <c r="D87" s="8"/>
      <c r="E87" s="9">
        <f t="shared" si="1"/>
        <v>0</v>
      </c>
      <c r="F87" s="8"/>
      <c r="G87" s="10"/>
      <c r="H87" s="5"/>
      <c r="I87" s="5"/>
      <c r="J87" s="5"/>
      <c r="K87" s="5"/>
      <c r="L87" s="17"/>
      <c r="M87" s="17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8"/>
      <c r="B88" s="7"/>
      <c r="C88" s="8"/>
      <c r="D88" s="8"/>
      <c r="E88" s="9">
        <f t="shared" si="1"/>
        <v>0</v>
      </c>
      <c r="F88" s="8"/>
      <c r="G88" s="10"/>
      <c r="H88" s="5"/>
      <c r="I88" s="5"/>
      <c r="J88" s="5"/>
      <c r="K88" s="5"/>
      <c r="L88" s="17"/>
      <c r="M88" s="17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8"/>
      <c r="B89" s="7"/>
      <c r="C89" s="8"/>
      <c r="D89" s="8"/>
      <c r="E89" s="9">
        <f t="shared" si="1"/>
        <v>0</v>
      </c>
      <c r="F89" s="8"/>
      <c r="G89" s="10"/>
      <c r="H89" s="5"/>
      <c r="I89" s="5"/>
      <c r="J89" s="5"/>
      <c r="K89" s="5"/>
      <c r="L89" s="17"/>
      <c r="M89" s="17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8"/>
      <c r="B90" s="7"/>
      <c r="C90" s="8"/>
      <c r="D90" s="8"/>
      <c r="E90" s="9">
        <f t="shared" si="1"/>
        <v>0</v>
      </c>
      <c r="F90" s="8"/>
      <c r="G90" s="10"/>
      <c r="H90" s="5"/>
      <c r="I90" s="5"/>
      <c r="J90" s="5"/>
      <c r="K90" s="5"/>
      <c r="L90" s="17"/>
      <c r="M90" s="17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30"/>
      <c r="B91" s="5"/>
      <c r="C91" s="30"/>
      <c r="D91" s="30"/>
      <c r="E91" s="30"/>
      <c r="F91" s="30"/>
      <c r="G91" s="31"/>
      <c r="H91" s="5"/>
      <c r="I91" s="5"/>
      <c r="J91" s="5"/>
      <c r="K91" s="5"/>
      <c r="L91" s="17"/>
      <c r="M91" s="1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30"/>
      <c r="B92" s="5"/>
      <c r="C92" s="30"/>
      <c r="D92" s="30"/>
      <c r="E92" s="30"/>
      <c r="F92" s="30"/>
      <c r="G92" s="31"/>
      <c r="H92" s="5"/>
      <c r="I92" s="5"/>
      <c r="J92" s="5"/>
      <c r="K92" s="5"/>
      <c r="L92" s="17"/>
      <c r="M92" s="17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30"/>
      <c r="B93" s="5"/>
      <c r="C93" s="30"/>
      <c r="D93" s="30"/>
      <c r="E93" s="30"/>
      <c r="F93" s="30"/>
      <c r="G93" s="31"/>
      <c r="H93" s="5"/>
      <c r="I93" s="5"/>
      <c r="J93" s="5"/>
      <c r="K93" s="5"/>
      <c r="L93" s="17"/>
      <c r="M93" s="17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30"/>
      <c r="B94" s="5"/>
      <c r="C94" s="30"/>
      <c r="D94" s="30"/>
      <c r="E94" s="30"/>
      <c r="F94" s="30"/>
      <c r="G94" s="31"/>
      <c r="H94" s="5"/>
      <c r="I94" s="5"/>
      <c r="J94" s="5"/>
      <c r="K94" s="5"/>
      <c r="L94" s="17"/>
      <c r="M94" s="17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30"/>
      <c r="B95" s="5"/>
      <c r="C95" s="30"/>
      <c r="D95" s="30"/>
      <c r="E95" s="30"/>
      <c r="F95" s="30"/>
      <c r="G95" s="3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30"/>
      <c r="B96" s="5"/>
      <c r="C96" s="30"/>
      <c r="D96" s="30"/>
      <c r="E96" s="30"/>
      <c r="F96" s="30"/>
      <c r="G96" s="3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30"/>
      <c r="B97" s="5"/>
      <c r="C97" s="30"/>
      <c r="D97" s="30"/>
      <c r="E97" s="30"/>
      <c r="F97" s="30"/>
      <c r="G97" s="3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30"/>
      <c r="B98" s="5"/>
      <c r="C98" s="30"/>
      <c r="D98" s="30"/>
      <c r="E98" s="30"/>
      <c r="F98" s="30"/>
      <c r="G98" s="3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30"/>
      <c r="B99" s="5"/>
      <c r="C99" s="30"/>
      <c r="D99" s="30"/>
      <c r="E99" s="30"/>
      <c r="F99" s="30"/>
      <c r="G99" s="3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30"/>
      <c r="B100" s="5"/>
      <c r="C100" s="30"/>
      <c r="D100" s="30"/>
      <c r="E100" s="30"/>
      <c r="F100" s="30"/>
      <c r="G100" s="3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30"/>
      <c r="B101" s="5"/>
      <c r="C101" s="30"/>
      <c r="D101" s="30"/>
      <c r="E101" s="30"/>
      <c r="F101" s="30"/>
      <c r="G101" s="3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30"/>
      <c r="B102" s="5"/>
      <c r="C102" s="30"/>
      <c r="D102" s="30"/>
      <c r="E102" s="30"/>
      <c r="F102" s="30"/>
      <c r="G102" s="3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30"/>
      <c r="B103" s="5"/>
      <c r="C103" s="30"/>
      <c r="D103" s="30"/>
      <c r="E103" s="30"/>
      <c r="F103" s="30"/>
      <c r="G103" s="3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30"/>
      <c r="B104" s="5"/>
      <c r="C104" s="30"/>
      <c r="D104" s="30"/>
      <c r="E104" s="30"/>
      <c r="F104" s="30"/>
      <c r="G104" s="3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30"/>
      <c r="B105" s="5"/>
      <c r="C105" s="30"/>
      <c r="D105" s="30"/>
      <c r="E105" s="30"/>
      <c r="F105" s="30"/>
      <c r="G105" s="3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30"/>
      <c r="B106" s="5"/>
      <c r="C106" s="30"/>
      <c r="D106" s="30"/>
      <c r="E106" s="30"/>
      <c r="F106" s="30"/>
      <c r="G106" s="3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30"/>
      <c r="B107" s="5"/>
      <c r="C107" s="30"/>
      <c r="D107" s="30"/>
      <c r="E107" s="30"/>
      <c r="F107" s="30"/>
      <c r="G107" s="31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30"/>
      <c r="B108" s="5"/>
      <c r="C108" s="30"/>
      <c r="D108" s="30"/>
      <c r="E108" s="30"/>
      <c r="F108" s="30"/>
      <c r="G108" s="3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30"/>
      <c r="B109" s="5"/>
      <c r="C109" s="30"/>
      <c r="D109" s="30"/>
      <c r="E109" s="30"/>
      <c r="F109" s="30"/>
      <c r="G109" s="3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30"/>
      <c r="B110" s="5"/>
      <c r="C110" s="30"/>
      <c r="D110" s="30"/>
      <c r="E110" s="30"/>
      <c r="F110" s="30"/>
      <c r="G110" s="3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30"/>
      <c r="B111" s="5"/>
      <c r="C111" s="30"/>
      <c r="D111" s="30"/>
      <c r="E111" s="30"/>
      <c r="F111" s="30"/>
      <c r="G111" s="3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30"/>
      <c r="B112" s="5"/>
      <c r="C112" s="30"/>
      <c r="D112" s="30"/>
      <c r="E112" s="30"/>
      <c r="F112" s="30"/>
      <c r="G112" s="3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30"/>
      <c r="B113" s="5"/>
      <c r="C113" s="30"/>
      <c r="D113" s="30"/>
      <c r="E113" s="30"/>
      <c r="F113" s="30"/>
      <c r="G113" s="31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30"/>
      <c r="B114" s="5"/>
      <c r="C114" s="30"/>
      <c r="D114" s="30"/>
      <c r="E114" s="30"/>
      <c r="F114" s="30"/>
      <c r="G114" s="31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30"/>
      <c r="B115" s="5"/>
      <c r="C115" s="30"/>
      <c r="D115" s="30"/>
      <c r="E115" s="30"/>
      <c r="F115" s="30"/>
      <c r="G115" s="3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30"/>
      <c r="B116" s="5"/>
      <c r="C116" s="30"/>
      <c r="D116" s="30"/>
      <c r="E116" s="30"/>
      <c r="F116" s="30"/>
      <c r="G116" s="3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30"/>
      <c r="B117" s="5"/>
      <c r="C117" s="30"/>
      <c r="D117" s="30"/>
      <c r="E117" s="30"/>
      <c r="F117" s="30"/>
      <c r="G117" s="3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30"/>
      <c r="B118" s="5"/>
      <c r="C118" s="30"/>
      <c r="D118" s="30"/>
      <c r="E118" s="30"/>
      <c r="F118" s="30"/>
      <c r="G118" s="3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30"/>
      <c r="B119" s="5"/>
      <c r="C119" s="30"/>
      <c r="D119" s="30"/>
      <c r="E119" s="30"/>
      <c r="F119" s="30"/>
      <c r="G119" s="3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30"/>
      <c r="B120" s="5"/>
      <c r="C120" s="30"/>
      <c r="D120" s="30"/>
      <c r="E120" s="30"/>
      <c r="F120" s="30"/>
      <c r="G120" s="3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30"/>
      <c r="B121" s="5"/>
      <c r="C121" s="30"/>
      <c r="D121" s="30"/>
      <c r="E121" s="30"/>
      <c r="F121" s="30"/>
      <c r="G121" s="3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30"/>
      <c r="B122" s="5"/>
      <c r="C122" s="30"/>
      <c r="D122" s="30"/>
      <c r="E122" s="30"/>
      <c r="F122" s="30"/>
      <c r="G122" s="3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30"/>
      <c r="B123" s="5"/>
      <c r="C123" s="30"/>
      <c r="D123" s="30"/>
      <c r="E123" s="30"/>
      <c r="F123" s="30"/>
      <c r="G123" s="3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30"/>
      <c r="B124" s="5"/>
      <c r="C124" s="30"/>
      <c r="D124" s="30"/>
      <c r="E124" s="30"/>
      <c r="F124" s="30"/>
      <c r="G124" s="3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30"/>
      <c r="B125" s="5"/>
      <c r="C125" s="30"/>
      <c r="D125" s="30"/>
      <c r="E125" s="30"/>
      <c r="F125" s="30"/>
      <c r="G125" s="3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30"/>
      <c r="B126" s="5"/>
      <c r="C126" s="30"/>
      <c r="D126" s="30"/>
      <c r="E126" s="30"/>
      <c r="F126" s="30"/>
      <c r="G126" s="3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30"/>
      <c r="B127" s="5"/>
      <c r="C127" s="30"/>
      <c r="D127" s="30"/>
      <c r="E127" s="30"/>
      <c r="F127" s="30"/>
      <c r="G127" s="3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30"/>
      <c r="B128" s="5"/>
      <c r="C128" s="30"/>
      <c r="D128" s="30"/>
      <c r="E128" s="30"/>
      <c r="F128" s="30"/>
      <c r="G128" s="3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30"/>
      <c r="B129" s="5"/>
      <c r="C129" s="30"/>
      <c r="D129" s="30"/>
      <c r="E129" s="30"/>
      <c r="F129" s="30"/>
      <c r="G129" s="3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30"/>
      <c r="B130" s="5"/>
      <c r="C130" s="30"/>
      <c r="D130" s="30"/>
      <c r="E130" s="30"/>
      <c r="F130" s="30"/>
      <c r="G130" s="3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30"/>
      <c r="B131" s="5"/>
      <c r="C131" s="30"/>
      <c r="D131" s="30"/>
      <c r="E131" s="30"/>
      <c r="F131" s="30"/>
      <c r="G131" s="3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30"/>
      <c r="B132" s="5"/>
      <c r="C132" s="30"/>
      <c r="D132" s="30"/>
      <c r="E132" s="30"/>
      <c r="F132" s="30"/>
      <c r="G132" s="3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30"/>
      <c r="B133" s="5"/>
      <c r="C133" s="30"/>
      <c r="D133" s="30"/>
      <c r="E133" s="30"/>
      <c r="F133" s="30"/>
      <c r="G133" s="3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30"/>
      <c r="B134" s="5"/>
      <c r="C134" s="30"/>
      <c r="D134" s="30"/>
      <c r="E134" s="30"/>
      <c r="F134" s="30"/>
      <c r="G134" s="3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30"/>
      <c r="B135" s="5"/>
      <c r="C135" s="30"/>
      <c r="D135" s="30"/>
      <c r="E135" s="30"/>
      <c r="F135" s="30"/>
      <c r="G135" s="3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30"/>
      <c r="B136" s="5"/>
      <c r="C136" s="30"/>
      <c r="D136" s="30"/>
      <c r="E136" s="30"/>
      <c r="F136" s="30"/>
      <c r="G136" s="3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30"/>
      <c r="B137" s="5"/>
      <c r="C137" s="30"/>
      <c r="D137" s="30"/>
      <c r="E137" s="30"/>
      <c r="F137" s="30"/>
      <c r="G137" s="31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30"/>
      <c r="B138" s="5"/>
      <c r="C138" s="30"/>
      <c r="D138" s="30"/>
      <c r="E138" s="30"/>
      <c r="F138" s="30"/>
      <c r="G138" s="3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30"/>
      <c r="B139" s="5"/>
      <c r="C139" s="30"/>
      <c r="D139" s="30"/>
      <c r="E139" s="30"/>
      <c r="F139" s="30"/>
      <c r="G139" s="3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30"/>
      <c r="B140" s="5"/>
      <c r="C140" s="30"/>
      <c r="D140" s="30"/>
      <c r="E140" s="30"/>
      <c r="F140" s="30"/>
      <c r="G140" s="3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30"/>
      <c r="B141" s="5"/>
      <c r="C141" s="30"/>
      <c r="D141" s="30"/>
      <c r="E141" s="30"/>
      <c r="F141" s="30"/>
      <c r="G141" s="31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30"/>
      <c r="B142" s="5"/>
      <c r="C142" s="30"/>
      <c r="D142" s="30"/>
      <c r="E142" s="30"/>
      <c r="F142" s="30"/>
      <c r="G142" s="31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30"/>
      <c r="B143" s="5"/>
      <c r="C143" s="30"/>
      <c r="D143" s="30"/>
      <c r="E143" s="30"/>
      <c r="F143" s="30"/>
      <c r="G143" s="31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30"/>
      <c r="B144" s="5"/>
      <c r="C144" s="30"/>
      <c r="D144" s="30"/>
      <c r="E144" s="30"/>
      <c r="F144" s="30"/>
      <c r="G144" s="31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30"/>
      <c r="B145" s="5"/>
      <c r="C145" s="30"/>
      <c r="D145" s="30"/>
      <c r="E145" s="30"/>
      <c r="F145" s="30"/>
      <c r="G145" s="3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30"/>
      <c r="B146" s="5"/>
      <c r="C146" s="30"/>
      <c r="D146" s="30"/>
      <c r="E146" s="30"/>
      <c r="F146" s="30"/>
      <c r="G146" s="31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30"/>
      <c r="B147" s="5"/>
      <c r="C147" s="30"/>
      <c r="D147" s="30"/>
      <c r="E147" s="30"/>
      <c r="F147" s="30"/>
      <c r="G147" s="31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30"/>
      <c r="B148" s="5"/>
      <c r="C148" s="30"/>
      <c r="D148" s="30"/>
      <c r="E148" s="30"/>
      <c r="F148" s="30"/>
      <c r="G148" s="3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30"/>
      <c r="B149" s="5"/>
      <c r="C149" s="30"/>
      <c r="D149" s="30"/>
      <c r="E149" s="30"/>
      <c r="F149" s="30"/>
      <c r="G149" s="3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30"/>
      <c r="B150" s="5"/>
      <c r="C150" s="30"/>
      <c r="D150" s="30"/>
      <c r="E150" s="30"/>
      <c r="F150" s="30"/>
      <c r="G150" s="3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30"/>
      <c r="B151" s="5"/>
      <c r="C151" s="30"/>
      <c r="D151" s="30"/>
      <c r="E151" s="30"/>
      <c r="F151" s="30"/>
      <c r="G151" s="31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30"/>
      <c r="B152" s="5"/>
      <c r="C152" s="30"/>
      <c r="D152" s="30"/>
      <c r="E152" s="30"/>
      <c r="F152" s="30"/>
      <c r="G152" s="31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30"/>
      <c r="B153" s="5"/>
      <c r="C153" s="30"/>
      <c r="D153" s="30"/>
      <c r="E153" s="30"/>
      <c r="F153" s="30"/>
      <c r="G153" s="31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30"/>
      <c r="B154" s="5"/>
      <c r="C154" s="30"/>
      <c r="D154" s="30"/>
      <c r="E154" s="30"/>
      <c r="F154" s="30"/>
      <c r="G154" s="31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30"/>
      <c r="B155" s="5"/>
      <c r="C155" s="30"/>
      <c r="D155" s="30"/>
      <c r="E155" s="30"/>
      <c r="F155" s="30"/>
      <c r="G155" s="31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30"/>
      <c r="B156" s="5"/>
      <c r="C156" s="30"/>
      <c r="D156" s="30"/>
      <c r="E156" s="30"/>
      <c r="F156" s="30"/>
      <c r="G156" s="3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30"/>
      <c r="B157" s="5"/>
      <c r="C157" s="30"/>
      <c r="D157" s="30"/>
      <c r="E157" s="30"/>
      <c r="F157" s="30"/>
      <c r="G157" s="31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30"/>
      <c r="B158" s="5"/>
      <c r="C158" s="30"/>
      <c r="D158" s="30"/>
      <c r="E158" s="30"/>
      <c r="F158" s="30"/>
      <c r="G158" s="3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30"/>
      <c r="B159" s="5"/>
      <c r="C159" s="30"/>
      <c r="D159" s="30"/>
      <c r="E159" s="30"/>
      <c r="F159" s="30"/>
      <c r="G159" s="31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30"/>
      <c r="B160" s="5"/>
      <c r="C160" s="30"/>
      <c r="D160" s="30"/>
      <c r="E160" s="30"/>
      <c r="F160" s="30"/>
      <c r="G160" s="3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30"/>
      <c r="B161" s="5"/>
      <c r="C161" s="30"/>
      <c r="D161" s="30"/>
      <c r="E161" s="30"/>
      <c r="F161" s="30"/>
      <c r="G161" s="31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30"/>
      <c r="B162" s="5"/>
      <c r="C162" s="30"/>
      <c r="D162" s="30"/>
      <c r="E162" s="30"/>
      <c r="F162" s="30"/>
      <c r="G162" s="3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30"/>
      <c r="B163" s="5"/>
      <c r="C163" s="30"/>
      <c r="D163" s="30"/>
      <c r="E163" s="30"/>
      <c r="F163" s="30"/>
      <c r="G163" s="31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30"/>
      <c r="B164" s="5"/>
      <c r="C164" s="30"/>
      <c r="D164" s="30"/>
      <c r="E164" s="30"/>
      <c r="F164" s="30"/>
      <c r="G164" s="3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30"/>
      <c r="B165" s="5"/>
      <c r="C165" s="30"/>
      <c r="D165" s="30"/>
      <c r="E165" s="30"/>
      <c r="F165" s="30"/>
      <c r="G165" s="31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30"/>
      <c r="B166" s="5"/>
      <c r="C166" s="30"/>
      <c r="D166" s="30"/>
      <c r="E166" s="30"/>
      <c r="F166" s="30"/>
      <c r="G166" s="31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30"/>
      <c r="B167" s="5"/>
      <c r="C167" s="30"/>
      <c r="D167" s="30"/>
      <c r="E167" s="30"/>
      <c r="F167" s="30"/>
      <c r="G167" s="31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30"/>
      <c r="B168" s="5"/>
      <c r="C168" s="30"/>
      <c r="D168" s="30"/>
      <c r="E168" s="30"/>
      <c r="F168" s="30"/>
      <c r="G168" s="3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30"/>
      <c r="B169" s="5"/>
      <c r="C169" s="30"/>
      <c r="D169" s="30"/>
      <c r="E169" s="30"/>
      <c r="F169" s="30"/>
      <c r="G169" s="31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30"/>
      <c r="B170" s="5"/>
      <c r="C170" s="30"/>
      <c r="D170" s="30"/>
      <c r="E170" s="30"/>
      <c r="F170" s="30"/>
      <c r="G170" s="3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30"/>
      <c r="B171" s="5"/>
      <c r="C171" s="30"/>
      <c r="D171" s="30"/>
      <c r="E171" s="30"/>
      <c r="F171" s="30"/>
      <c r="G171" s="3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30"/>
      <c r="B172" s="5"/>
      <c r="C172" s="30"/>
      <c r="D172" s="30"/>
      <c r="E172" s="30"/>
      <c r="F172" s="30"/>
      <c r="G172" s="3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30"/>
      <c r="B173" s="5"/>
      <c r="C173" s="30"/>
      <c r="D173" s="30"/>
      <c r="E173" s="30"/>
      <c r="F173" s="30"/>
      <c r="G173" s="3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30"/>
      <c r="B174" s="5"/>
      <c r="C174" s="30"/>
      <c r="D174" s="30"/>
      <c r="E174" s="30"/>
      <c r="F174" s="30"/>
      <c r="G174" s="31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30"/>
      <c r="B175" s="5"/>
      <c r="C175" s="30"/>
      <c r="D175" s="30"/>
      <c r="E175" s="30"/>
      <c r="F175" s="30"/>
      <c r="G175" s="31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30"/>
      <c r="B176" s="5"/>
      <c r="C176" s="30"/>
      <c r="D176" s="30"/>
      <c r="E176" s="30"/>
      <c r="F176" s="30"/>
      <c r="G176" s="31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30"/>
      <c r="B177" s="5"/>
      <c r="C177" s="30"/>
      <c r="D177" s="30"/>
      <c r="E177" s="30"/>
      <c r="F177" s="30"/>
      <c r="G177" s="31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30"/>
      <c r="B178" s="5"/>
      <c r="C178" s="30"/>
      <c r="D178" s="30"/>
      <c r="E178" s="30"/>
      <c r="F178" s="30"/>
      <c r="G178" s="31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30"/>
      <c r="B179" s="5"/>
      <c r="C179" s="30"/>
      <c r="D179" s="30"/>
      <c r="E179" s="30"/>
      <c r="F179" s="30"/>
      <c r="G179" s="31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30"/>
      <c r="B180" s="5"/>
      <c r="C180" s="30"/>
      <c r="D180" s="30"/>
      <c r="E180" s="30"/>
      <c r="F180" s="30"/>
      <c r="G180" s="31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30"/>
      <c r="B181" s="5"/>
      <c r="C181" s="30"/>
      <c r="D181" s="30"/>
      <c r="E181" s="30"/>
      <c r="F181" s="30"/>
      <c r="G181" s="31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30"/>
      <c r="B182" s="5"/>
      <c r="C182" s="30"/>
      <c r="D182" s="30"/>
      <c r="E182" s="30"/>
      <c r="F182" s="30"/>
      <c r="G182" s="3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30"/>
      <c r="B183" s="5"/>
      <c r="C183" s="30"/>
      <c r="D183" s="30"/>
      <c r="E183" s="30"/>
      <c r="F183" s="30"/>
      <c r="G183" s="3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30"/>
      <c r="B184" s="5"/>
      <c r="C184" s="30"/>
      <c r="D184" s="30"/>
      <c r="E184" s="30"/>
      <c r="F184" s="30"/>
      <c r="G184" s="31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30"/>
      <c r="B185" s="5"/>
      <c r="C185" s="30"/>
      <c r="D185" s="30"/>
      <c r="E185" s="30"/>
      <c r="F185" s="30"/>
      <c r="G185" s="31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30"/>
      <c r="B186" s="5"/>
      <c r="C186" s="30"/>
      <c r="D186" s="30"/>
      <c r="E186" s="30"/>
      <c r="F186" s="30"/>
      <c r="G186" s="31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30"/>
      <c r="B187" s="5"/>
      <c r="C187" s="30"/>
      <c r="D187" s="30"/>
      <c r="E187" s="30"/>
      <c r="F187" s="30"/>
      <c r="G187" s="31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30"/>
      <c r="B188" s="5"/>
      <c r="C188" s="30"/>
      <c r="D188" s="30"/>
      <c r="E188" s="30"/>
      <c r="F188" s="30"/>
      <c r="G188" s="31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30"/>
      <c r="B189" s="5"/>
      <c r="C189" s="30"/>
      <c r="D189" s="30"/>
      <c r="E189" s="30"/>
      <c r="F189" s="30"/>
      <c r="G189" s="3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30"/>
      <c r="B190" s="5"/>
      <c r="C190" s="30"/>
      <c r="D190" s="30"/>
      <c r="E190" s="30"/>
      <c r="F190" s="30"/>
      <c r="G190" s="3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30"/>
      <c r="B191" s="5"/>
      <c r="C191" s="30"/>
      <c r="D191" s="30"/>
      <c r="E191" s="30"/>
      <c r="F191" s="30"/>
      <c r="G191" s="31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30"/>
      <c r="B192" s="5"/>
      <c r="C192" s="30"/>
      <c r="D192" s="30"/>
      <c r="E192" s="30"/>
      <c r="F192" s="30"/>
      <c r="G192" s="31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30"/>
      <c r="B193" s="5"/>
      <c r="C193" s="30"/>
      <c r="D193" s="30"/>
      <c r="E193" s="30"/>
      <c r="F193" s="30"/>
      <c r="G193" s="31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30"/>
      <c r="B194" s="5"/>
      <c r="C194" s="30"/>
      <c r="D194" s="30"/>
      <c r="E194" s="30"/>
      <c r="F194" s="30"/>
      <c r="G194" s="31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30"/>
      <c r="B195" s="5"/>
      <c r="C195" s="30"/>
      <c r="D195" s="30"/>
      <c r="E195" s="30"/>
      <c r="F195" s="30"/>
      <c r="G195" s="31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30"/>
      <c r="B196" s="5"/>
      <c r="C196" s="30"/>
      <c r="D196" s="30"/>
      <c r="E196" s="30"/>
      <c r="F196" s="30"/>
      <c r="G196" s="3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30"/>
      <c r="B197" s="5"/>
      <c r="C197" s="30"/>
      <c r="D197" s="30"/>
      <c r="E197" s="30"/>
      <c r="F197" s="30"/>
      <c r="G197" s="31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30"/>
      <c r="B198" s="5"/>
      <c r="C198" s="30"/>
      <c r="D198" s="30"/>
      <c r="E198" s="30"/>
      <c r="F198" s="30"/>
      <c r="G198" s="31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30"/>
      <c r="B199" s="5"/>
      <c r="C199" s="30"/>
      <c r="D199" s="30"/>
      <c r="E199" s="30"/>
      <c r="F199" s="30"/>
      <c r="G199" s="3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30"/>
      <c r="B200" s="5"/>
      <c r="C200" s="30"/>
      <c r="D200" s="30"/>
      <c r="E200" s="30"/>
      <c r="F200" s="30"/>
      <c r="G200" s="3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30"/>
      <c r="B201" s="5"/>
      <c r="C201" s="30"/>
      <c r="D201" s="30"/>
      <c r="E201" s="30"/>
      <c r="F201" s="30"/>
      <c r="G201" s="31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30"/>
      <c r="B202" s="5"/>
      <c r="C202" s="30"/>
      <c r="D202" s="30"/>
      <c r="E202" s="30"/>
      <c r="F202" s="30"/>
      <c r="G202" s="31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30"/>
      <c r="B203" s="5"/>
      <c r="C203" s="30"/>
      <c r="D203" s="30"/>
      <c r="E203" s="30"/>
      <c r="F203" s="30"/>
      <c r="G203" s="31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30"/>
      <c r="B204" s="5"/>
      <c r="C204" s="30"/>
      <c r="D204" s="30"/>
      <c r="E204" s="30"/>
      <c r="F204" s="30"/>
      <c r="G204" s="31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30"/>
      <c r="B205" s="5"/>
      <c r="C205" s="30"/>
      <c r="D205" s="30"/>
      <c r="E205" s="30"/>
      <c r="F205" s="30"/>
      <c r="G205" s="31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30"/>
      <c r="B206" s="5"/>
      <c r="C206" s="30"/>
      <c r="D206" s="30"/>
      <c r="E206" s="30"/>
      <c r="F206" s="30"/>
      <c r="G206" s="31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30"/>
      <c r="B207" s="5"/>
      <c r="C207" s="30"/>
      <c r="D207" s="30"/>
      <c r="E207" s="30"/>
      <c r="F207" s="30"/>
      <c r="G207" s="31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30"/>
      <c r="B208" s="5"/>
      <c r="C208" s="30"/>
      <c r="D208" s="30"/>
      <c r="E208" s="30"/>
      <c r="F208" s="30"/>
      <c r="G208" s="31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30"/>
      <c r="B209" s="5"/>
      <c r="C209" s="30"/>
      <c r="D209" s="30"/>
      <c r="E209" s="30"/>
      <c r="F209" s="30"/>
      <c r="G209" s="31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30"/>
      <c r="B210" s="5"/>
      <c r="C210" s="30"/>
      <c r="D210" s="30"/>
      <c r="E210" s="30"/>
      <c r="F210" s="30"/>
      <c r="G210" s="31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30"/>
      <c r="B211" s="5"/>
      <c r="C211" s="30"/>
      <c r="D211" s="30"/>
      <c r="E211" s="30"/>
      <c r="F211" s="30"/>
      <c r="G211" s="31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30"/>
      <c r="B212" s="5"/>
      <c r="C212" s="30"/>
      <c r="D212" s="30"/>
      <c r="E212" s="30"/>
      <c r="F212" s="30"/>
      <c r="G212" s="31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30"/>
      <c r="B213" s="5"/>
      <c r="C213" s="30"/>
      <c r="D213" s="30"/>
      <c r="E213" s="30"/>
      <c r="F213" s="30"/>
      <c r="G213" s="31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30"/>
      <c r="B214" s="5"/>
      <c r="C214" s="30"/>
      <c r="D214" s="30"/>
      <c r="E214" s="30"/>
      <c r="F214" s="30"/>
      <c r="G214" s="31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30"/>
      <c r="B215" s="5"/>
      <c r="C215" s="30"/>
      <c r="D215" s="30"/>
      <c r="E215" s="30"/>
      <c r="F215" s="30"/>
      <c r="G215" s="31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30"/>
      <c r="B216" s="5"/>
      <c r="C216" s="30"/>
      <c r="D216" s="30"/>
      <c r="E216" s="30"/>
      <c r="F216" s="30"/>
      <c r="G216" s="31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30"/>
      <c r="B217" s="5"/>
      <c r="C217" s="30"/>
      <c r="D217" s="30"/>
      <c r="E217" s="30"/>
      <c r="F217" s="30"/>
      <c r="G217" s="31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30"/>
      <c r="B218" s="5"/>
      <c r="C218" s="30"/>
      <c r="D218" s="30"/>
      <c r="E218" s="30"/>
      <c r="F218" s="30"/>
      <c r="G218" s="31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30"/>
      <c r="B219" s="5"/>
      <c r="C219" s="30"/>
      <c r="D219" s="30"/>
      <c r="E219" s="30"/>
      <c r="F219" s="30"/>
      <c r="G219" s="31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30"/>
      <c r="B220" s="5"/>
      <c r="C220" s="30"/>
      <c r="D220" s="30"/>
      <c r="E220" s="30"/>
      <c r="F220" s="30"/>
      <c r="G220" s="31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30"/>
      <c r="B221" s="5"/>
      <c r="C221" s="30"/>
      <c r="D221" s="30"/>
      <c r="E221" s="30"/>
      <c r="F221" s="30"/>
      <c r="G221" s="31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30"/>
      <c r="B222" s="5"/>
      <c r="C222" s="30"/>
      <c r="D222" s="30"/>
      <c r="E222" s="30"/>
      <c r="F222" s="30"/>
      <c r="G222" s="31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30"/>
      <c r="B223" s="5"/>
      <c r="C223" s="30"/>
      <c r="D223" s="30"/>
      <c r="E223" s="30"/>
      <c r="F223" s="30"/>
      <c r="G223" s="31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30"/>
      <c r="B224" s="5"/>
      <c r="C224" s="30"/>
      <c r="D224" s="30"/>
      <c r="E224" s="30"/>
      <c r="F224" s="30"/>
      <c r="G224" s="31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30"/>
      <c r="B225" s="5"/>
      <c r="C225" s="30"/>
      <c r="D225" s="30"/>
      <c r="E225" s="30"/>
      <c r="F225" s="30"/>
      <c r="G225" s="31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30"/>
      <c r="B226" s="5"/>
      <c r="C226" s="30"/>
      <c r="D226" s="30"/>
      <c r="E226" s="30"/>
      <c r="F226" s="30"/>
      <c r="G226" s="31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30"/>
      <c r="B227" s="5"/>
      <c r="C227" s="30"/>
      <c r="D227" s="30"/>
      <c r="E227" s="30"/>
      <c r="F227" s="30"/>
      <c r="G227" s="31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30"/>
      <c r="B228" s="5"/>
      <c r="C228" s="30"/>
      <c r="D228" s="30"/>
      <c r="E228" s="30"/>
      <c r="F228" s="30"/>
      <c r="G228" s="31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30"/>
      <c r="B229" s="5"/>
      <c r="C229" s="30"/>
      <c r="D229" s="30"/>
      <c r="E229" s="30"/>
      <c r="F229" s="30"/>
      <c r="G229" s="3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30"/>
      <c r="B230" s="5"/>
      <c r="C230" s="30"/>
      <c r="D230" s="30"/>
      <c r="E230" s="30"/>
      <c r="F230" s="30"/>
      <c r="G230" s="31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30"/>
      <c r="B231" s="5"/>
      <c r="C231" s="30"/>
      <c r="D231" s="30"/>
      <c r="E231" s="30"/>
      <c r="F231" s="30"/>
      <c r="G231" s="31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30"/>
      <c r="B232" s="5"/>
      <c r="C232" s="30"/>
      <c r="D232" s="30"/>
      <c r="E232" s="30"/>
      <c r="F232" s="30"/>
      <c r="G232" s="31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30"/>
      <c r="B233" s="5"/>
      <c r="C233" s="30"/>
      <c r="D233" s="30"/>
      <c r="E233" s="30"/>
      <c r="F233" s="30"/>
      <c r="G233" s="31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30"/>
      <c r="B234" s="5"/>
      <c r="C234" s="30"/>
      <c r="D234" s="30"/>
      <c r="E234" s="30"/>
      <c r="F234" s="30"/>
      <c r="G234" s="31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30"/>
      <c r="B235" s="5"/>
      <c r="C235" s="30"/>
      <c r="D235" s="30"/>
      <c r="E235" s="30"/>
      <c r="F235" s="30"/>
      <c r="G235" s="31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30"/>
      <c r="B236" s="5"/>
      <c r="C236" s="30"/>
      <c r="D236" s="30"/>
      <c r="E236" s="30"/>
      <c r="F236" s="30"/>
      <c r="G236" s="31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30"/>
      <c r="B237" s="5"/>
      <c r="C237" s="30"/>
      <c r="D237" s="30"/>
      <c r="E237" s="30"/>
      <c r="F237" s="30"/>
      <c r="G237" s="31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30"/>
      <c r="B238" s="5"/>
      <c r="C238" s="30"/>
      <c r="D238" s="30"/>
      <c r="E238" s="30"/>
      <c r="F238" s="30"/>
      <c r="G238" s="31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30"/>
      <c r="B239" s="5"/>
      <c r="C239" s="30"/>
      <c r="D239" s="30"/>
      <c r="E239" s="30"/>
      <c r="F239" s="30"/>
      <c r="G239" s="3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30"/>
      <c r="B240" s="5"/>
      <c r="C240" s="30"/>
      <c r="D240" s="30"/>
      <c r="E240" s="30"/>
      <c r="F240" s="30"/>
      <c r="G240" s="31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30"/>
      <c r="B241" s="5"/>
      <c r="C241" s="30"/>
      <c r="D241" s="30"/>
      <c r="E241" s="30"/>
      <c r="F241" s="30"/>
      <c r="G241" s="31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30"/>
      <c r="B242" s="5"/>
      <c r="C242" s="30"/>
      <c r="D242" s="30"/>
      <c r="E242" s="30"/>
      <c r="F242" s="30"/>
      <c r="G242" s="31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30"/>
      <c r="B243" s="5"/>
      <c r="C243" s="30"/>
      <c r="D243" s="30"/>
      <c r="E243" s="30"/>
      <c r="F243" s="30"/>
      <c r="G243" s="3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30"/>
      <c r="B244" s="5"/>
      <c r="C244" s="30"/>
      <c r="D244" s="30"/>
      <c r="E244" s="30"/>
      <c r="F244" s="30"/>
      <c r="G244" s="31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30"/>
      <c r="B245" s="5"/>
      <c r="C245" s="30"/>
      <c r="D245" s="30"/>
      <c r="E245" s="30"/>
      <c r="F245" s="30"/>
      <c r="G245" s="31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30"/>
      <c r="B246" s="5"/>
      <c r="C246" s="30"/>
      <c r="D246" s="30"/>
      <c r="E246" s="30"/>
      <c r="F246" s="30"/>
      <c r="G246" s="31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30"/>
      <c r="B247" s="5"/>
      <c r="C247" s="30"/>
      <c r="D247" s="30"/>
      <c r="E247" s="30"/>
      <c r="F247" s="30"/>
      <c r="G247" s="31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30"/>
      <c r="B248" s="5"/>
      <c r="C248" s="30"/>
      <c r="D248" s="30"/>
      <c r="E248" s="30"/>
      <c r="F248" s="30"/>
      <c r="G248" s="31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30"/>
      <c r="B249" s="5"/>
      <c r="C249" s="30"/>
      <c r="D249" s="30"/>
      <c r="E249" s="30"/>
      <c r="F249" s="30"/>
      <c r="G249" s="31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30"/>
      <c r="B250" s="5"/>
      <c r="C250" s="30"/>
      <c r="D250" s="30"/>
      <c r="E250" s="30"/>
      <c r="F250" s="30"/>
      <c r="G250" s="31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30"/>
      <c r="B251" s="5"/>
      <c r="C251" s="30"/>
      <c r="D251" s="30"/>
      <c r="E251" s="30"/>
      <c r="F251" s="30"/>
      <c r="G251" s="31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30"/>
      <c r="B252" s="5"/>
      <c r="C252" s="30"/>
      <c r="D252" s="30"/>
      <c r="E252" s="30"/>
      <c r="F252" s="30"/>
      <c r="G252" s="31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30"/>
      <c r="B253" s="5"/>
      <c r="C253" s="30"/>
      <c r="D253" s="30"/>
      <c r="E253" s="30"/>
      <c r="F253" s="30"/>
      <c r="G253" s="31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30"/>
      <c r="B254" s="5"/>
      <c r="C254" s="30"/>
      <c r="D254" s="30"/>
      <c r="E254" s="30"/>
      <c r="F254" s="30"/>
      <c r="G254" s="31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30"/>
      <c r="B255" s="5"/>
      <c r="C255" s="30"/>
      <c r="D255" s="30"/>
      <c r="E255" s="30"/>
      <c r="F255" s="30"/>
      <c r="G255" s="31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30"/>
      <c r="B256" s="5"/>
      <c r="C256" s="30"/>
      <c r="D256" s="30"/>
      <c r="E256" s="30"/>
      <c r="F256" s="30"/>
      <c r="G256" s="31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30"/>
      <c r="B257" s="5"/>
      <c r="C257" s="30"/>
      <c r="D257" s="30"/>
      <c r="E257" s="30"/>
      <c r="F257" s="30"/>
      <c r="G257" s="31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32"/>
      <c r="I258" s="5"/>
      <c r="J258" s="5"/>
    </row>
    <row r="259" ht="15.75" customHeight="1">
      <c r="A259" s="32"/>
      <c r="I259" s="5"/>
      <c r="J259" s="5"/>
    </row>
    <row r="260" ht="15.75" customHeight="1">
      <c r="A260" s="32"/>
      <c r="I260" s="5"/>
      <c r="J260" s="5"/>
    </row>
    <row r="261" ht="15.75" customHeight="1">
      <c r="A261" s="32"/>
      <c r="I261" s="5"/>
      <c r="J261" s="5"/>
    </row>
    <row r="262" ht="15.75" customHeight="1">
      <c r="A262" s="32"/>
      <c r="I262" s="5"/>
      <c r="J262" s="5"/>
    </row>
    <row r="263" ht="15.75" customHeight="1">
      <c r="A263" s="32"/>
      <c r="I263" s="5"/>
      <c r="J263" s="5"/>
    </row>
    <row r="264" ht="15.75" customHeight="1">
      <c r="A264" s="32"/>
      <c r="I264" s="5"/>
      <c r="J264" s="5"/>
    </row>
    <row r="265" ht="15.75" customHeight="1">
      <c r="A265" s="32"/>
      <c r="I265" s="5"/>
      <c r="J265" s="5"/>
    </row>
    <row r="266" ht="15.75" customHeight="1">
      <c r="A266" s="32"/>
      <c r="I266" s="5"/>
      <c r="J266" s="5"/>
    </row>
    <row r="267" ht="15.75" customHeight="1">
      <c r="A267" s="32"/>
      <c r="I267" s="5"/>
      <c r="J267" s="5"/>
    </row>
    <row r="268" ht="15.75" customHeight="1">
      <c r="A268" s="32"/>
      <c r="I268" s="5"/>
      <c r="J268" s="5"/>
    </row>
    <row r="269" ht="15.75" customHeight="1">
      <c r="A269" s="32"/>
      <c r="I269" s="5"/>
      <c r="J269" s="5"/>
    </row>
    <row r="270" ht="15.75" customHeight="1">
      <c r="A270" s="32"/>
      <c r="I270" s="5"/>
      <c r="J270" s="5"/>
    </row>
    <row r="271" ht="15.75" customHeight="1">
      <c r="A271" s="32"/>
      <c r="I271" s="5"/>
      <c r="J271" s="5"/>
    </row>
    <row r="272" ht="15.75" customHeight="1">
      <c r="A272" s="32"/>
      <c r="I272" s="5"/>
      <c r="J272" s="5"/>
    </row>
    <row r="273" ht="15.75" customHeight="1">
      <c r="A273" s="32"/>
      <c r="I273" s="5"/>
      <c r="J273" s="5"/>
    </row>
    <row r="274" ht="15.75" customHeight="1">
      <c r="A274" s="32"/>
      <c r="I274" s="5"/>
      <c r="J274" s="5"/>
    </row>
    <row r="275" ht="15.75" customHeight="1">
      <c r="A275" s="32"/>
      <c r="I275" s="5"/>
      <c r="J275" s="5"/>
    </row>
    <row r="276" ht="15.75" customHeight="1">
      <c r="A276" s="32"/>
      <c r="I276" s="5"/>
      <c r="J276" s="5"/>
    </row>
    <row r="277" ht="15.75" customHeight="1">
      <c r="A277" s="32"/>
      <c r="I277" s="5"/>
      <c r="J277" s="5"/>
    </row>
    <row r="278" ht="15.75" customHeight="1">
      <c r="A278" s="32"/>
      <c r="I278" s="5"/>
      <c r="J278" s="5"/>
    </row>
    <row r="279" ht="15.75" customHeight="1">
      <c r="A279" s="32"/>
      <c r="I279" s="5"/>
      <c r="J279" s="5"/>
    </row>
    <row r="280" ht="15.75" customHeight="1">
      <c r="A280" s="32"/>
      <c r="I280" s="5"/>
      <c r="J280" s="5"/>
    </row>
    <row r="281" ht="15.75" customHeight="1">
      <c r="A281" s="32"/>
      <c r="I281" s="5"/>
      <c r="J281" s="5"/>
    </row>
    <row r="282" ht="15.75" customHeight="1">
      <c r="A282" s="32"/>
      <c r="I282" s="5"/>
      <c r="J282" s="5"/>
    </row>
    <row r="283" ht="15.75" customHeight="1">
      <c r="A283" s="32"/>
      <c r="I283" s="5"/>
      <c r="J283" s="5"/>
    </row>
    <row r="284" ht="15.75" customHeight="1">
      <c r="A284" s="32"/>
      <c r="I284" s="5"/>
      <c r="J284" s="5"/>
    </row>
    <row r="285" ht="15.75" customHeight="1">
      <c r="A285" s="32"/>
      <c r="I285" s="5"/>
      <c r="J285" s="5"/>
    </row>
    <row r="286" ht="15.75" customHeight="1">
      <c r="A286" s="32"/>
      <c r="I286" s="5"/>
      <c r="J286" s="5"/>
    </row>
    <row r="287" ht="15.75" customHeight="1">
      <c r="A287" s="32"/>
    </row>
    <row r="288" ht="15.75" customHeight="1">
      <c r="A288" s="32"/>
    </row>
    <row r="289" ht="15.75" customHeight="1">
      <c r="A289" s="32"/>
    </row>
    <row r="290" ht="15.75" customHeight="1">
      <c r="A290" s="32"/>
    </row>
    <row r="291" ht="15.75" customHeight="1">
      <c r="A291" s="32"/>
    </row>
    <row r="292" ht="15.75" customHeight="1">
      <c r="A292" s="32"/>
    </row>
    <row r="293" ht="15.75" customHeight="1">
      <c r="A293" s="32"/>
    </row>
    <row r="294" ht="15.75" customHeight="1">
      <c r="A294" s="32"/>
    </row>
    <row r="295" ht="15.75" customHeight="1">
      <c r="A295" s="32"/>
    </row>
    <row r="296" ht="15.75" customHeight="1">
      <c r="A296" s="32"/>
    </row>
    <row r="297" ht="15.75" customHeight="1">
      <c r="A297" s="32"/>
    </row>
    <row r="298" ht="15.75" customHeight="1">
      <c r="A298" s="32"/>
    </row>
    <row r="299" ht="15.75" customHeight="1">
      <c r="A299" s="32"/>
    </row>
    <row r="300" ht="15.75" customHeight="1">
      <c r="A300" s="32"/>
    </row>
    <row r="301" ht="15.75" customHeight="1">
      <c r="A301" s="32"/>
    </row>
    <row r="302" ht="15.75" customHeight="1">
      <c r="A302" s="32"/>
    </row>
    <row r="303" ht="15.75" customHeight="1">
      <c r="A303" s="32"/>
    </row>
    <row r="304" ht="15.75" customHeight="1">
      <c r="A304" s="32"/>
    </row>
    <row r="305" ht="15.75" customHeight="1">
      <c r="A305" s="32"/>
    </row>
    <row r="306" ht="15.75" customHeight="1">
      <c r="A306" s="32"/>
    </row>
    <row r="307" ht="15.75" customHeight="1">
      <c r="A307" s="32"/>
    </row>
    <row r="308" ht="15.75" customHeight="1">
      <c r="A308" s="32"/>
    </row>
    <row r="309" ht="15.75" customHeight="1">
      <c r="A309" s="32"/>
    </row>
    <row r="310" ht="15.75" customHeight="1">
      <c r="A310" s="32"/>
    </row>
    <row r="311" ht="15.75" customHeight="1">
      <c r="A311" s="32"/>
    </row>
    <row r="312" ht="15.75" customHeight="1">
      <c r="A312" s="32"/>
    </row>
    <row r="313" ht="15.75" customHeight="1">
      <c r="A313" s="32"/>
    </row>
    <row r="314" ht="15.75" customHeight="1">
      <c r="A314" s="32"/>
    </row>
    <row r="315" ht="15.75" customHeight="1">
      <c r="A315" s="32"/>
    </row>
    <row r="316" ht="15.75" customHeight="1">
      <c r="A316" s="32"/>
    </row>
    <row r="317" ht="15.75" customHeight="1">
      <c r="A317" s="32"/>
    </row>
    <row r="318" ht="15.75" customHeight="1">
      <c r="A318" s="32"/>
    </row>
    <row r="319" ht="15.75" customHeight="1">
      <c r="A319" s="32"/>
    </row>
    <row r="320" ht="15.75" customHeight="1">
      <c r="A320" s="32"/>
    </row>
    <row r="321" ht="15.75" customHeight="1">
      <c r="A321" s="32"/>
    </row>
    <row r="322" ht="15.75" customHeight="1">
      <c r="A322" s="32"/>
    </row>
    <row r="323" ht="15.75" customHeight="1">
      <c r="A323" s="32"/>
    </row>
    <row r="324" ht="15.75" customHeight="1">
      <c r="A324" s="32"/>
    </row>
    <row r="325" ht="15.75" customHeight="1">
      <c r="A325" s="32"/>
    </row>
    <row r="326" ht="15.75" customHeight="1">
      <c r="A326" s="32"/>
    </row>
    <row r="327" ht="15.75" customHeight="1">
      <c r="A327" s="32"/>
    </row>
    <row r="328" ht="15.75" customHeight="1">
      <c r="A328" s="32"/>
    </row>
    <row r="329" ht="15.75" customHeight="1">
      <c r="A329" s="32"/>
    </row>
    <row r="330" ht="15.75" customHeight="1">
      <c r="A330" s="32"/>
    </row>
    <row r="331" ht="15.75" customHeight="1">
      <c r="A331" s="32"/>
    </row>
    <row r="332" ht="15.75" customHeight="1">
      <c r="A332" s="32"/>
    </row>
    <row r="333" ht="15.75" customHeight="1">
      <c r="A333" s="32"/>
    </row>
    <row r="334" ht="15.75" customHeight="1">
      <c r="A334" s="32"/>
    </row>
    <row r="335" ht="15.75" customHeight="1">
      <c r="A335" s="32"/>
    </row>
    <row r="336" ht="15.75" customHeight="1">
      <c r="A336" s="32"/>
    </row>
    <row r="337" ht="15.75" customHeight="1">
      <c r="A337" s="32"/>
    </row>
    <row r="338" ht="15.75" customHeight="1">
      <c r="A338" s="32"/>
    </row>
    <row r="339" ht="15.75" customHeight="1">
      <c r="A339" s="32"/>
    </row>
    <row r="340" ht="15.75" customHeight="1">
      <c r="A340" s="32"/>
    </row>
    <row r="341" ht="15.75" customHeight="1">
      <c r="A341" s="32"/>
    </row>
    <row r="342" ht="15.75" customHeight="1">
      <c r="A342" s="32"/>
    </row>
    <row r="343" ht="15.75" customHeight="1">
      <c r="A343" s="32"/>
    </row>
    <row r="344" ht="15.75" customHeight="1">
      <c r="A344" s="32"/>
    </row>
    <row r="345" ht="15.75" customHeight="1">
      <c r="A345" s="32"/>
    </row>
    <row r="346" ht="15.75" customHeight="1">
      <c r="A346" s="32"/>
    </row>
    <row r="347" ht="15.75" customHeight="1">
      <c r="A347" s="32"/>
    </row>
    <row r="348" ht="15.75" customHeight="1">
      <c r="A348" s="32"/>
    </row>
    <row r="349" ht="15.75" customHeight="1">
      <c r="A349" s="32"/>
    </row>
    <row r="350" ht="15.75" customHeight="1">
      <c r="A350" s="32"/>
    </row>
    <row r="351" ht="15.75" customHeight="1">
      <c r="A351" s="32"/>
    </row>
    <row r="352" ht="15.75" customHeight="1">
      <c r="A352" s="32"/>
    </row>
    <row r="353" ht="15.75" customHeight="1">
      <c r="A353" s="32"/>
    </row>
    <row r="354" ht="15.75" customHeight="1">
      <c r="A354" s="32"/>
    </row>
    <row r="355" ht="15.75" customHeight="1">
      <c r="A355" s="32"/>
    </row>
    <row r="356" ht="15.75" customHeight="1">
      <c r="A356" s="32"/>
    </row>
    <row r="357" ht="15.75" customHeight="1">
      <c r="A357" s="32"/>
    </row>
    <row r="358" ht="15.75" customHeight="1">
      <c r="A358" s="32"/>
    </row>
    <row r="359" ht="15.75" customHeight="1">
      <c r="A359" s="32"/>
    </row>
    <row r="360" ht="15.75" customHeight="1">
      <c r="A360" s="32"/>
    </row>
    <row r="361" ht="15.75" customHeight="1">
      <c r="A361" s="32"/>
    </row>
    <row r="362" ht="15.75" customHeight="1">
      <c r="A362" s="32"/>
    </row>
    <row r="363" ht="15.75" customHeight="1">
      <c r="A363" s="32"/>
    </row>
    <row r="364" ht="15.75" customHeight="1">
      <c r="A364" s="32"/>
    </row>
    <row r="365" ht="15.75" customHeight="1">
      <c r="A365" s="32"/>
    </row>
    <row r="366" ht="15.75" customHeight="1">
      <c r="A366" s="32"/>
    </row>
    <row r="367" ht="15.75" customHeight="1">
      <c r="A367" s="32"/>
    </row>
    <row r="368" ht="15.75" customHeight="1">
      <c r="A368" s="32"/>
    </row>
    <row r="369" ht="15.75" customHeight="1">
      <c r="A369" s="32"/>
    </row>
    <row r="370" ht="15.75" customHeight="1">
      <c r="A370" s="32"/>
    </row>
    <row r="371" ht="15.75" customHeight="1">
      <c r="A371" s="32"/>
    </row>
    <row r="372" ht="15.75" customHeight="1">
      <c r="A372" s="32"/>
    </row>
    <row r="373" ht="15.75" customHeight="1">
      <c r="A373" s="32"/>
    </row>
    <row r="374" ht="15.75" customHeight="1">
      <c r="A374" s="32"/>
    </row>
    <row r="375" ht="15.75" customHeight="1">
      <c r="A375" s="32"/>
    </row>
    <row r="376" ht="15.75" customHeight="1">
      <c r="A376" s="32"/>
    </row>
    <row r="377" ht="15.75" customHeight="1">
      <c r="A377" s="32"/>
    </row>
    <row r="378" ht="15.75" customHeight="1">
      <c r="A378" s="32"/>
    </row>
    <row r="379" ht="15.75" customHeight="1">
      <c r="A379" s="32"/>
    </row>
    <row r="380" ht="15.75" customHeight="1">
      <c r="A380" s="32"/>
    </row>
    <row r="381" ht="15.75" customHeight="1">
      <c r="A381" s="32"/>
    </row>
    <row r="382" ht="15.75" customHeight="1">
      <c r="A382" s="32"/>
    </row>
    <row r="383" ht="15.75" customHeight="1">
      <c r="A383" s="32"/>
    </row>
    <row r="384" ht="15.75" customHeight="1">
      <c r="A384" s="32"/>
    </row>
    <row r="385" ht="15.75" customHeight="1">
      <c r="A385" s="32"/>
    </row>
    <row r="386" ht="15.75" customHeight="1">
      <c r="A386" s="32"/>
    </row>
    <row r="387" ht="15.75" customHeight="1">
      <c r="A387" s="32"/>
    </row>
    <row r="388" ht="15.75" customHeight="1">
      <c r="A388" s="32"/>
    </row>
    <row r="389" ht="15.75" customHeight="1">
      <c r="A389" s="32"/>
    </row>
    <row r="390" ht="15.75" customHeight="1">
      <c r="A390" s="32"/>
    </row>
    <row r="391" ht="15.75" customHeight="1">
      <c r="A391" s="32"/>
    </row>
    <row r="392" ht="15.75" customHeight="1">
      <c r="A392" s="32"/>
    </row>
    <row r="393" ht="15.75" customHeight="1">
      <c r="A393" s="32"/>
    </row>
    <row r="394" ht="15.75" customHeight="1">
      <c r="A394" s="32"/>
    </row>
    <row r="395" ht="15.75" customHeight="1">
      <c r="A395" s="32"/>
    </row>
    <row r="396" ht="15.75" customHeight="1">
      <c r="A396" s="32"/>
    </row>
    <row r="397" ht="15.75" customHeight="1">
      <c r="A397" s="32"/>
    </row>
    <row r="398" ht="15.75" customHeight="1">
      <c r="A398" s="32"/>
    </row>
    <row r="399" ht="15.75" customHeight="1">
      <c r="A399" s="32"/>
    </row>
    <row r="400" ht="15.75" customHeight="1">
      <c r="A400" s="32"/>
    </row>
    <row r="401" ht="15.75" customHeight="1">
      <c r="A401" s="32"/>
    </row>
    <row r="402" ht="15.75" customHeight="1">
      <c r="A402" s="32"/>
    </row>
    <row r="403" ht="15.75" customHeight="1">
      <c r="A403" s="32"/>
    </row>
    <row r="404" ht="15.75" customHeight="1">
      <c r="A404" s="32"/>
    </row>
    <row r="405" ht="15.75" customHeight="1">
      <c r="A405" s="32"/>
    </row>
    <row r="406" ht="15.75" customHeight="1">
      <c r="A406" s="32"/>
    </row>
    <row r="407" ht="15.75" customHeight="1">
      <c r="A407" s="32"/>
    </row>
    <row r="408" ht="15.75" customHeight="1">
      <c r="A408" s="32"/>
    </row>
    <row r="409" ht="15.75" customHeight="1">
      <c r="A409" s="32"/>
    </row>
    <row r="410" ht="15.75" customHeight="1">
      <c r="A410" s="32"/>
    </row>
    <row r="411" ht="15.75" customHeight="1">
      <c r="A411" s="32"/>
    </row>
    <row r="412" ht="15.75" customHeight="1">
      <c r="A412" s="32"/>
    </row>
    <row r="413" ht="15.75" customHeight="1">
      <c r="A413" s="32"/>
    </row>
    <row r="414" ht="15.75" customHeight="1">
      <c r="A414" s="32"/>
    </row>
    <row r="415" ht="15.75" customHeight="1">
      <c r="A415" s="32"/>
    </row>
    <row r="416" ht="15.75" customHeight="1">
      <c r="A416" s="32"/>
    </row>
    <row r="417" ht="15.75" customHeight="1">
      <c r="A417" s="32"/>
    </row>
    <row r="418" ht="15.75" customHeight="1">
      <c r="A418" s="32"/>
    </row>
    <row r="419" ht="15.75" customHeight="1">
      <c r="A419" s="32"/>
    </row>
    <row r="420" ht="15.75" customHeight="1">
      <c r="A420" s="32"/>
    </row>
    <row r="421" ht="15.75" customHeight="1">
      <c r="A421" s="32"/>
    </row>
    <row r="422" ht="15.75" customHeight="1">
      <c r="A422" s="32"/>
    </row>
    <row r="423" ht="15.75" customHeight="1">
      <c r="A423" s="32"/>
    </row>
    <row r="424" ht="15.75" customHeight="1">
      <c r="A424" s="32"/>
    </row>
    <row r="425" ht="15.75" customHeight="1">
      <c r="A425" s="32"/>
    </row>
    <row r="426" ht="15.75" customHeight="1">
      <c r="A426" s="32"/>
    </row>
    <row r="427" ht="15.75" customHeight="1">
      <c r="A427" s="32"/>
    </row>
    <row r="428" ht="15.75" customHeight="1">
      <c r="A428" s="32"/>
    </row>
    <row r="429" ht="15.75" customHeight="1">
      <c r="A429" s="32"/>
    </row>
    <row r="430" ht="15.75" customHeight="1">
      <c r="A430" s="32"/>
    </row>
    <row r="431" ht="15.75" customHeight="1">
      <c r="A431" s="32"/>
    </row>
    <row r="432" ht="15.75" customHeight="1">
      <c r="A432" s="32"/>
    </row>
    <row r="433" ht="15.75" customHeight="1">
      <c r="A433" s="32"/>
    </row>
    <row r="434" ht="15.75" customHeight="1">
      <c r="A434" s="32"/>
    </row>
    <row r="435" ht="15.75" customHeight="1">
      <c r="A435" s="32"/>
    </row>
    <row r="436" ht="15.75" customHeight="1">
      <c r="A436" s="32"/>
    </row>
    <row r="437" ht="15.75" customHeight="1">
      <c r="A437" s="32"/>
    </row>
    <row r="438" ht="15.75" customHeight="1">
      <c r="A438" s="32"/>
    </row>
    <row r="439" ht="15.75" customHeight="1">
      <c r="A439" s="32"/>
    </row>
    <row r="440" ht="15.75" customHeight="1">
      <c r="A440" s="32"/>
    </row>
    <row r="441" ht="15.75" customHeight="1">
      <c r="A441" s="32"/>
    </row>
    <row r="442" ht="15.75" customHeight="1">
      <c r="A442" s="32"/>
    </row>
    <row r="443" ht="15.75" customHeight="1">
      <c r="A443" s="32"/>
    </row>
    <row r="444" ht="15.75" customHeight="1">
      <c r="A444" s="32"/>
    </row>
    <row r="445" ht="15.75" customHeight="1">
      <c r="A445" s="32"/>
    </row>
    <row r="446" ht="15.75" customHeight="1">
      <c r="A446" s="32"/>
    </row>
    <row r="447" ht="15.75" customHeight="1">
      <c r="A447" s="32"/>
    </row>
    <row r="448" ht="15.75" customHeight="1">
      <c r="A448" s="32"/>
    </row>
    <row r="449" ht="15.75" customHeight="1">
      <c r="A449" s="32"/>
    </row>
    <row r="450" ht="15.75" customHeight="1">
      <c r="A450" s="32"/>
    </row>
    <row r="451" ht="15.75" customHeight="1">
      <c r="A451" s="32"/>
    </row>
    <row r="452" ht="15.75" customHeight="1">
      <c r="A452" s="32"/>
    </row>
    <row r="453" ht="15.75" customHeight="1">
      <c r="A453" s="32"/>
    </row>
    <row r="454" ht="15.75" customHeight="1">
      <c r="A454" s="32"/>
    </row>
    <row r="455" ht="15.75" customHeight="1">
      <c r="A455" s="32"/>
    </row>
    <row r="456" ht="15.75" customHeight="1">
      <c r="A456" s="32"/>
    </row>
    <row r="457" ht="15.75" customHeight="1">
      <c r="A457" s="32"/>
    </row>
    <row r="458" ht="15.75" customHeight="1">
      <c r="A458" s="32"/>
    </row>
    <row r="459" ht="15.75" customHeight="1">
      <c r="A459" s="32"/>
    </row>
    <row r="460" ht="15.75" customHeight="1">
      <c r="A460" s="32"/>
    </row>
    <row r="461" ht="15.75" customHeight="1">
      <c r="A461" s="32"/>
    </row>
    <row r="462" ht="15.75" customHeight="1">
      <c r="A462" s="32"/>
    </row>
    <row r="463" ht="15.75" customHeight="1">
      <c r="A463" s="32"/>
    </row>
    <row r="464" ht="15.75" customHeight="1">
      <c r="A464" s="32"/>
    </row>
    <row r="465" ht="15.75" customHeight="1">
      <c r="A465" s="32"/>
    </row>
    <row r="466" ht="15.75" customHeight="1">
      <c r="A466" s="32"/>
    </row>
    <row r="467" ht="15.75" customHeight="1">
      <c r="A467" s="32"/>
    </row>
    <row r="468" ht="15.75" customHeight="1">
      <c r="A468" s="32"/>
    </row>
    <row r="469" ht="15.75" customHeight="1">
      <c r="A469" s="32"/>
    </row>
    <row r="470" ht="15.75" customHeight="1">
      <c r="A470" s="32"/>
    </row>
    <row r="471" ht="15.75" customHeight="1">
      <c r="A471" s="32"/>
    </row>
    <row r="472" ht="15.75" customHeight="1">
      <c r="A472" s="32"/>
    </row>
    <row r="473" ht="15.75" customHeight="1">
      <c r="A473" s="32"/>
    </row>
    <row r="474" ht="15.75" customHeight="1">
      <c r="A474" s="32"/>
    </row>
    <row r="475" ht="15.75" customHeight="1">
      <c r="A475" s="32"/>
    </row>
    <row r="476" ht="15.75" customHeight="1">
      <c r="A476" s="32"/>
    </row>
    <row r="477" ht="15.75" customHeight="1">
      <c r="A477" s="32"/>
    </row>
    <row r="478" ht="15.75" customHeight="1">
      <c r="A478" s="32"/>
    </row>
    <row r="479" ht="15.75" customHeight="1">
      <c r="A479" s="32"/>
    </row>
    <row r="480" ht="15.75" customHeight="1">
      <c r="A480" s="32"/>
    </row>
    <row r="481" ht="15.75" customHeight="1">
      <c r="A481" s="32"/>
    </row>
    <row r="482" ht="15.75" customHeight="1">
      <c r="A482" s="32"/>
    </row>
    <row r="483" ht="15.75" customHeight="1">
      <c r="A483" s="32"/>
    </row>
    <row r="484" ht="15.75" customHeight="1">
      <c r="A484" s="32"/>
    </row>
    <row r="485" ht="15.75" customHeight="1">
      <c r="A485" s="32"/>
    </row>
    <row r="486" ht="15.75" customHeight="1">
      <c r="A486" s="32"/>
    </row>
    <row r="487" ht="15.75" customHeight="1">
      <c r="A487" s="32"/>
    </row>
    <row r="488" ht="15.75" customHeight="1">
      <c r="A488" s="32"/>
    </row>
    <row r="489" ht="15.75" customHeight="1">
      <c r="A489" s="32"/>
    </row>
    <row r="490" ht="15.75" customHeight="1">
      <c r="A490" s="32"/>
    </row>
    <row r="491" ht="15.75" customHeight="1">
      <c r="A491" s="32"/>
    </row>
    <row r="492" ht="15.75" customHeight="1">
      <c r="A492" s="32"/>
    </row>
    <row r="493" ht="15.75" customHeight="1">
      <c r="A493" s="32"/>
    </row>
    <row r="494" ht="15.75" customHeight="1">
      <c r="A494" s="32"/>
    </row>
    <row r="495" ht="15.75" customHeight="1">
      <c r="A495" s="32"/>
    </row>
    <row r="496" ht="15.75" customHeight="1">
      <c r="A496" s="32"/>
    </row>
    <row r="497" ht="15.75" customHeight="1">
      <c r="A497" s="32"/>
    </row>
    <row r="498" ht="15.75" customHeight="1">
      <c r="A498" s="32"/>
    </row>
    <row r="499" ht="15.75" customHeight="1">
      <c r="A499" s="32"/>
    </row>
    <row r="500" ht="15.75" customHeight="1">
      <c r="A500" s="32"/>
    </row>
    <row r="501" ht="15.75" customHeight="1">
      <c r="A501" s="32"/>
    </row>
    <row r="502" ht="15.75" customHeight="1">
      <c r="A502" s="32"/>
    </row>
    <row r="503" ht="15.75" customHeight="1">
      <c r="A503" s="32"/>
    </row>
    <row r="504" ht="15.75" customHeight="1">
      <c r="A504" s="32"/>
    </row>
    <row r="505" ht="15.75" customHeight="1">
      <c r="A505" s="32"/>
    </row>
    <row r="506" ht="15.75" customHeight="1">
      <c r="A506" s="32"/>
    </row>
    <row r="507" ht="15.75" customHeight="1">
      <c r="A507" s="32"/>
    </row>
    <row r="508" ht="15.75" customHeight="1">
      <c r="A508" s="32"/>
    </row>
    <row r="509" ht="15.75" customHeight="1">
      <c r="A509" s="32"/>
    </row>
    <row r="510" ht="15.75" customHeight="1">
      <c r="A510" s="32"/>
    </row>
    <row r="511" ht="15.75" customHeight="1">
      <c r="A511" s="32"/>
    </row>
    <row r="512" ht="15.75" customHeight="1">
      <c r="A512" s="32"/>
    </row>
    <row r="513" ht="15.75" customHeight="1">
      <c r="A513" s="32"/>
    </row>
    <row r="514" ht="15.75" customHeight="1">
      <c r="A514" s="32"/>
    </row>
    <row r="515" ht="15.75" customHeight="1">
      <c r="A515" s="32"/>
    </row>
    <row r="516" ht="15.75" customHeight="1">
      <c r="A516" s="32"/>
    </row>
    <row r="517" ht="15.75" customHeight="1">
      <c r="A517" s="32"/>
    </row>
    <row r="518" ht="15.75" customHeight="1">
      <c r="A518" s="32"/>
    </row>
    <row r="519" ht="15.75" customHeight="1">
      <c r="A519" s="32"/>
    </row>
    <row r="520" ht="15.75" customHeight="1">
      <c r="A520" s="32"/>
    </row>
    <row r="521" ht="15.75" customHeight="1">
      <c r="A521" s="32"/>
    </row>
    <row r="522" ht="15.75" customHeight="1">
      <c r="A522" s="32"/>
    </row>
    <row r="523" ht="15.75" customHeight="1">
      <c r="A523" s="32"/>
    </row>
    <row r="524" ht="15.75" customHeight="1">
      <c r="A524" s="32"/>
    </row>
    <row r="525" ht="15.75" customHeight="1">
      <c r="A525" s="32"/>
    </row>
    <row r="526" ht="15.75" customHeight="1">
      <c r="A526" s="32"/>
    </row>
    <row r="527" ht="15.75" customHeight="1">
      <c r="A527" s="32"/>
    </row>
    <row r="528" ht="15.75" customHeight="1">
      <c r="A528" s="32"/>
    </row>
    <row r="529" ht="15.75" customHeight="1">
      <c r="A529" s="32"/>
    </row>
    <row r="530" ht="15.75" customHeight="1">
      <c r="A530" s="32"/>
    </row>
    <row r="531" ht="15.75" customHeight="1">
      <c r="A531" s="32"/>
    </row>
    <row r="532" ht="15.75" customHeight="1">
      <c r="A532" s="32"/>
    </row>
    <row r="533" ht="15.75" customHeight="1">
      <c r="A533" s="32"/>
    </row>
    <row r="534" ht="15.75" customHeight="1">
      <c r="A534" s="32"/>
    </row>
    <row r="535" ht="15.75" customHeight="1">
      <c r="A535" s="32"/>
    </row>
    <row r="536" ht="15.75" customHeight="1">
      <c r="A536" s="32"/>
    </row>
    <row r="537" ht="15.75" customHeight="1">
      <c r="A537" s="32"/>
    </row>
    <row r="538" ht="15.75" customHeight="1">
      <c r="A538" s="32"/>
    </row>
    <row r="539" ht="15.75" customHeight="1">
      <c r="A539" s="32"/>
    </row>
    <row r="540" ht="15.75" customHeight="1">
      <c r="A540" s="32"/>
    </row>
    <row r="541" ht="15.75" customHeight="1">
      <c r="A541" s="32"/>
    </row>
    <row r="542" ht="15.75" customHeight="1">
      <c r="A542" s="32"/>
    </row>
    <row r="543" ht="15.75" customHeight="1">
      <c r="A543" s="32"/>
    </row>
    <row r="544" ht="15.75" customHeight="1">
      <c r="A544" s="32"/>
    </row>
    <row r="545" ht="15.75" customHeight="1">
      <c r="A545" s="32"/>
    </row>
    <row r="546" ht="15.75" customHeight="1">
      <c r="A546" s="32"/>
    </row>
    <row r="547" ht="15.75" customHeight="1">
      <c r="A547" s="32"/>
    </row>
    <row r="548" ht="15.75" customHeight="1">
      <c r="A548" s="32"/>
    </row>
    <row r="549" ht="15.75" customHeight="1">
      <c r="A549" s="32"/>
    </row>
    <row r="550" ht="15.75" customHeight="1">
      <c r="A550" s="32"/>
    </row>
    <row r="551" ht="15.75" customHeight="1">
      <c r="A551" s="32"/>
    </row>
    <row r="552" ht="15.75" customHeight="1">
      <c r="A552" s="32"/>
    </row>
    <row r="553" ht="15.75" customHeight="1">
      <c r="A553" s="32"/>
    </row>
    <row r="554" ht="15.75" customHeight="1">
      <c r="A554" s="32"/>
    </row>
    <row r="555" ht="15.75" customHeight="1">
      <c r="A555" s="32"/>
    </row>
    <row r="556" ht="15.75" customHeight="1">
      <c r="A556" s="32"/>
    </row>
    <row r="557" ht="15.75" customHeight="1">
      <c r="A557" s="32"/>
    </row>
    <row r="558" ht="15.75" customHeight="1">
      <c r="A558" s="32"/>
    </row>
    <row r="559" ht="15.75" customHeight="1">
      <c r="A559" s="32"/>
    </row>
    <row r="560" ht="15.75" customHeight="1">
      <c r="A560" s="32"/>
    </row>
    <row r="561" ht="15.75" customHeight="1">
      <c r="A561" s="32"/>
    </row>
    <row r="562" ht="15.75" customHeight="1">
      <c r="A562" s="32"/>
    </row>
    <row r="563" ht="15.75" customHeight="1">
      <c r="A563" s="32"/>
    </row>
    <row r="564" ht="15.75" customHeight="1">
      <c r="A564" s="32"/>
    </row>
    <row r="565" ht="15.75" customHeight="1">
      <c r="A565" s="32"/>
    </row>
    <row r="566" ht="15.75" customHeight="1">
      <c r="A566" s="32"/>
    </row>
    <row r="567" ht="15.75" customHeight="1">
      <c r="A567" s="32"/>
    </row>
    <row r="568" ht="15.75" customHeight="1">
      <c r="A568" s="32"/>
    </row>
    <row r="569" ht="15.75" customHeight="1">
      <c r="A569" s="32"/>
    </row>
    <row r="570" ht="15.75" customHeight="1">
      <c r="A570" s="32"/>
    </row>
    <row r="571" ht="15.75" customHeight="1">
      <c r="A571" s="32"/>
    </row>
    <row r="572" ht="15.75" customHeight="1">
      <c r="A572" s="32"/>
    </row>
    <row r="573" ht="15.75" customHeight="1">
      <c r="A573" s="32"/>
    </row>
    <row r="574" ht="15.75" customHeight="1">
      <c r="A574" s="32"/>
    </row>
    <row r="575" ht="15.75" customHeight="1">
      <c r="A575" s="32"/>
    </row>
    <row r="576" ht="15.75" customHeight="1">
      <c r="A576" s="32"/>
    </row>
    <row r="577" ht="15.75" customHeight="1">
      <c r="A577" s="32"/>
    </row>
    <row r="578" ht="15.75" customHeight="1">
      <c r="A578" s="32"/>
    </row>
    <row r="579" ht="15.75" customHeight="1">
      <c r="A579" s="32"/>
    </row>
    <row r="580" ht="15.75" customHeight="1">
      <c r="A580" s="32"/>
    </row>
    <row r="581" ht="15.75" customHeight="1">
      <c r="A581" s="32"/>
    </row>
    <row r="582" ht="15.75" customHeight="1">
      <c r="A582" s="32"/>
    </row>
    <row r="583" ht="15.75" customHeight="1">
      <c r="A583" s="32"/>
    </row>
    <row r="584" ht="15.75" customHeight="1">
      <c r="A584" s="32"/>
    </row>
    <row r="585" ht="15.75" customHeight="1">
      <c r="A585" s="32"/>
    </row>
    <row r="586" ht="15.75" customHeight="1">
      <c r="A586" s="32"/>
    </row>
    <row r="587" ht="15.75" customHeight="1">
      <c r="A587" s="32"/>
    </row>
    <row r="588" ht="15.75" customHeight="1">
      <c r="A588" s="32"/>
    </row>
    <row r="589" ht="15.75" customHeight="1">
      <c r="A589" s="32"/>
    </row>
    <row r="590" ht="15.75" customHeight="1">
      <c r="A590" s="32"/>
    </row>
    <row r="591" ht="15.75" customHeight="1">
      <c r="A591" s="32"/>
    </row>
    <row r="592" ht="15.75" customHeight="1">
      <c r="A592" s="32"/>
    </row>
    <row r="593" ht="15.75" customHeight="1">
      <c r="A593" s="32"/>
    </row>
    <row r="594" ht="15.75" customHeight="1">
      <c r="A594" s="32"/>
    </row>
    <row r="595" ht="15.75" customHeight="1">
      <c r="A595" s="32"/>
    </row>
    <row r="596" ht="15.75" customHeight="1">
      <c r="A596" s="32"/>
    </row>
    <row r="597" ht="15.75" customHeight="1">
      <c r="A597" s="32"/>
    </row>
    <row r="598" ht="15.75" customHeight="1">
      <c r="A598" s="32"/>
    </row>
    <row r="599" ht="15.75" customHeight="1">
      <c r="A599" s="32"/>
    </row>
    <row r="600" ht="15.75" customHeight="1">
      <c r="A600" s="32"/>
    </row>
    <row r="601" ht="15.75" customHeight="1">
      <c r="A601" s="32"/>
    </row>
    <row r="602" ht="15.75" customHeight="1">
      <c r="A602" s="32"/>
    </row>
    <row r="603" ht="15.75" customHeight="1">
      <c r="A603" s="32"/>
    </row>
    <row r="604" ht="15.75" customHeight="1">
      <c r="A604" s="32"/>
    </row>
    <row r="605" ht="15.75" customHeight="1">
      <c r="A605" s="32"/>
    </row>
    <row r="606" ht="15.75" customHeight="1">
      <c r="A606" s="32"/>
    </row>
    <row r="607" ht="15.75" customHeight="1">
      <c r="A607" s="32"/>
    </row>
    <row r="608" ht="15.75" customHeight="1">
      <c r="A608" s="32"/>
    </row>
    <row r="609" ht="15.75" customHeight="1">
      <c r="A609" s="32"/>
    </row>
    <row r="610" ht="15.75" customHeight="1">
      <c r="A610" s="32"/>
    </row>
    <row r="611" ht="15.75" customHeight="1">
      <c r="A611" s="32"/>
    </row>
    <row r="612" ht="15.75" customHeight="1">
      <c r="A612" s="32"/>
    </row>
    <row r="613" ht="15.75" customHeight="1">
      <c r="A613" s="32"/>
    </row>
    <row r="614" ht="15.75" customHeight="1">
      <c r="A614" s="32"/>
    </row>
    <row r="615" ht="15.75" customHeight="1">
      <c r="A615" s="32"/>
    </row>
    <row r="616" ht="15.75" customHeight="1">
      <c r="A616" s="32"/>
    </row>
    <row r="617" ht="15.75" customHeight="1">
      <c r="A617" s="32"/>
    </row>
    <row r="618" ht="15.75" customHeight="1">
      <c r="A618" s="32"/>
    </row>
    <row r="619" ht="15.75" customHeight="1">
      <c r="A619" s="32"/>
    </row>
    <row r="620" ht="15.75" customHeight="1">
      <c r="A620" s="32"/>
    </row>
    <row r="621" ht="15.75" customHeight="1">
      <c r="A621" s="32"/>
    </row>
    <row r="622" ht="15.75" customHeight="1">
      <c r="A622" s="32"/>
    </row>
    <row r="623" ht="15.75" customHeight="1">
      <c r="A623" s="32"/>
    </row>
    <row r="624" ht="15.75" customHeight="1">
      <c r="A624" s="32"/>
    </row>
    <row r="625" ht="15.75" customHeight="1">
      <c r="A625" s="32"/>
    </row>
    <row r="626" ht="15.75" customHeight="1">
      <c r="A626" s="32"/>
    </row>
    <row r="627" ht="15.75" customHeight="1">
      <c r="A627" s="32"/>
    </row>
    <row r="628" ht="15.75" customHeight="1">
      <c r="A628" s="32"/>
    </row>
    <row r="629" ht="15.75" customHeight="1">
      <c r="A629" s="32"/>
    </row>
    <row r="630" ht="15.75" customHeight="1">
      <c r="A630" s="32"/>
    </row>
    <row r="631" ht="15.75" customHeight="1">
      <c r="A631" s="32"/>
    </row>
    <row r="632" ht="15.75" customHeight="1">
      <c r="A632" s="32"/>
    </row>
    <row r="633" ht="15.75" customHeight="1">
      <c r="A633" s="32"/>
    </row>
    <row r="634" ht="15.75" customHeight="1">
      <c r="A634" s="32"/>
    </row>
    <row r="635" ht="15.75" customHeight="1">
      <c r="A635" s="32"/>
    </row>
    <row r="636" ht="15.75" customHeight="1">
      <c r="A636" s="32"/>
    </row>
    <row r="637" ht="15.75" customHeight="1">
      <c r="A637" s="32"/>
    </row>
    <row r="638" ht="15.75" customHeight="1">
      <c r="A638" s="32"/>
    </row>
    <row r="639" ht="15.75" customHeight="1">
      <c r="A639" s="32"/>
    </row>
    <row r="640" ht="15.75" customHeight="1">
      <c r="A640" s="32"/>
    </row>
    <row r="641" ht="15.75" customHeight="1">
      <c r="A641" s="32"/>
    </row>
    <row r="642" ht="15.75" customHeight="1">
      <c r="A642" s="32"/>
    </row>
    <row r="643" ht="15.75" customHeight="1">
      <c r="A643" s="32"/>
    </row>
    <row r="644" ht="15.75" customHeight="1">
      <c r="A644" s="32"/>
    </row>
    <row r="645" ht="15.75" customHeight="1">
      <c r="A645" s="32"/>
    </row>
    <row r="646" ht="15.75" customHeight="1">
      <c r="A646" s="32"/>
    </row>
    <row r="647" ht="15.75" customHeight="1">
      <c r="A647" s="32"/>
    </row>
    <row r="648" ht="15.75" customHeight="1">
      <c r="A648" s="32"/>
    </row>
    <row r="649" ht="15.75" customHeight="1">
      <c r="A649" s="32"/>
    </row>
    <row r="650" ht="15.75" customHeight="1">
      <c r="A650" s="32"/>
    </row>
    <row r="651" ht="15.75" customHeight="1">
      <c r="A651" s="32"/>
    </row>
    <row r="652" ht="15.75" customHeight="1">
      <c r="A652" s="32"/>
    </row>
    <row r="653" ht="15.75" customHeight="1">
      <c r="A653" s="32"/>
    </row>
    <row r="654" ht="15.75" customHeight="1">
      <c r="A654" s="32"/>
    </row>
    <row r="655" ht="15.75" customHeight="1">
      <c r="A655" s="32"/>
    </row>
    <row r="656" ht="15.75" customHeight="1">
      <c r="A656" s="32"/>
    </row>
    <row r="657" ht="15.75" customHeight="1">
      <c r="A657" s="32"/>
    </row>
    <row r="658" ht="15.75" customHeight="1">
      <c r="A658" s="32"/>
    </row>
    <row r="659" ht="15.75" customHeight="1">
      <c r="A659" s="32"/>
    </row>
    <row r="660" ht="15.75" customHeight="1">
      <c r="A660" s="32"/>
    </row>
    <row r="661" ht="15.75" customHeight="1">
      <c r="A661" s="32"/>
    </row>
    <row r="662" ht="15.75" customHeight="1">
      <c r="A662" s="32"/>
    </row>
    <row r="663" ht="15.75" customHeight="1">
      <c r="A663" s="32"/>
    </row>
    <row r="664" ht="15.75" customHeight="1">
      <c r="A664" s="32"/>
    </row>
    <row r="665" ht="15.75" customHeight="1">
      <c r="A665" s="32"/>
    </row>
    <row r="666" ht="15.75" customHeight="1">
      <c r="A666" s="32"/>
    </row>
    <row r="667" ht="15.75" customHeight="1">
      <c r="A667" s="32"/>
    </row>
    <row r="668" ht="15.75" customHeight="1">
      <c r="A668" s="32"/>
    </row>
    <row r="669" ht="15.75" customHeight="1">
      <c r="A669" s="32"/>
    </row>
    <row r="670" ht="15.75" customHeight="1">
      <c r="A670" s="32"/>
    </row>
    <row r="671" ht="15.75" customHeight="1">
      <c r="A671" s="32"/>
    </row>
    <row r="672" ht="15.75" customHeight="1">
      <c r="A672" s="32"/>
    </row>
    <row r="673" ht="15.75" customHeight="1">
      <c r="A673" s="32"/>
    </row>
    <row r="674" ht="15.75" customHeight="1">
      <c r="A674" s="32"/>
    </row>
    <row r="675" ht="15.75" customHeight="1">
      <c r="A675" s="32"/>
    </row>
    <row r="676" ht="15.75" customHeight="1">
      <c r="A676" s="32"/>
    </row>
    <row r="677" ht="15.75" customHeight="1">
      <c r="A677" s="32"/>
    </row>
    <row r="678" ht="15.75" customHeight="1">
      <c r="A678" s="32"/>
    </row>
    <row r="679" ht="15.75" customHeight="1">
      <c r="A679" s="32"/>
    </row>
    <row r="680" ht="15.75" customHeight="1">
      <c r="A680" s="32"/>
    </row>
    <row r="681" ht="15.75" customHeight="1">
      <c r="A681" s="32"/>
    </row>
    <row r="682" ht="15.75" customHeight="1">
      <c r="A682" s="32"/>
    </row>
    <row r="683" ht="15.75" customHeight="1">
      <c r="A683" s="32"/>
    </row>
    <row r="684" ht="15.75" customHeight="1">
      <c r="A684" s="32"/>
    </row>
    <row r="685" ht="15.75" customHeight="1">
      <c r="A685" s="32"/>
    </row>
    <row r="686" ht="15.75" customHeight="1">
      <c r="A686" s="32"/>
    </row>
    <row r="687" ht="15.75" customHeight="1">
      <c r="A687" s="32"/>
    </row>
    <row r="688" ht="15.75" customHeight="1">
      <c r="A688" s="32"/>
    </row>
    <row r="689" ht="15.75" customHeight="1">
      <c r="A689" s="32"/>
    </row>
    <row r="690" ht="15.75" customHeight="1">
      <c r="A690" s="32"/>
    </row>
    <row r="691" ht="15.75" customHeight="1">
      <c r="A691" s="32"/>
    </row>
    <row r="692" ht="15.75" customHeight="1">
      <c r="A692" s="32"/>
    </row>
    <row r="693" ht="15.75" customHeight="1">
      <c r="A693" s="32"/>
    </row>
    <row r="694" ht="15.75" customHeight="1">
      <c r="A694" s="32"/>
    </row>
    <row r="695" ht="15.75" customHeight="1">
      <c r="A695" s="32"/>
    </row>
    <row r="696" ht="15.75" customHeight="1">
      <c r="A696" s="32"/>
    </row>
    <row r="697" ht="15.75" customHeight="1">
      <c r="A697" s="32"/>
    </row>
    <row r="698" ht="15.75" customHeight="1">
      <c r="A698" s="32"/>
    </row>
    <row r="699" ht="15.75" customHeight="1">
      <c r="A699" s="32"/>
    </row>
    <row r="700" ht="15.75" customHeight="1">
      <c r="A700" s="32"/>
    </row>
    <row r="701" ht="15.75" customHeight="1">
      <c r="A701" s="32"/>
    </row>
    <row r="702" ht="15.75" customHeight="1">
      <c r="A702" s="32"/>
    </row>
    <row r="703" ht="15.75" customHeight="1">
      <c r="A703" s="32"/>
    </row>
    <row r="704" ht="15.75" customHeight="1">
      <c r="A704" s="32"/>
    </row>
    <row r="705" ht="15.75" customHeight="1">
      <c r="A705" s="32"/>
    </row>
    <row r="706" ht="15.75" customHeight="1">
      <c r="A706" s="32"/>
    </row>
    <row r="707" ht="15.75" customHeight="1">
      <c r="A707" s="32"/>
    </row>
    <row r="708" ht="15.75" customHeight="1">
      <c r="A708" s="32"/>
    </row>
    <row r="709" ht="15.75" customHeight="1">
      <c r="A709" s="32"/>
    </row>
    <row r="710" ht="15.75" customHeight="1">
      <c r="A710" s="32"/>
    </row>
    <row r="711" ht="15.75" customHeight="1">
      <c r="A711" s="32"/>
    </row>
    <row r="712" ht="15.75" customHeight="1">
      <c r="A712" s="32"/>
    </row>
    <row r="713" ht="15.75" customHeight="1">
      <c r="A713" s="32"/>
    </row>
    <row r="714" ht="15.75" customHeight="1">
      <c r="A714" s="32"/>
    </row>
    <row r="715" ht="15.75" customHeight="1">
      <c r="A715" s="32"/>
    </row>
    <row r="716" ht="15.75" customHeight="1">
      <c r="A716" s="32"/>
    </row>
    <row r="717" ht="15.75" customHeight="1">
      <c r="A717" s="32"/>
    </row>
    <row r="718" ht="15.75" customHeight="1">
      <c r="A718" s="32"/>
    </row>
    <row r="719" ht="15.75" customHeight="1">
      <c r="A719" s="32"/>
    </row>
    <row r="720" ht="15.75" customHeight="1">
      <c r="A720" s="32"/>
    </row>
    <row r="721" ht="15.75" customHeight="1">
      <c r="A721" s="32"/>
    </row>
    <row r="722" ht="15.75" customHeight="1">
      <c r="A722" s="32"/>
    </row>
    <row r="723" ht="15.75" customHeight="1">
      <c r="A723" s="32"/>
    </row>
    <row r="724" ht="15.75" customHeight="1">
      <c r="A724" s="32"/>
    </row>
    <row r="725" ht="15.75" customHeight="1">
      <c r="A725" s="32"/>
    </row>
    <row r="726" ht="15.75" customHeight="1">
      <c r="A726" s="32"/>
    </row>
    <row r="727" ht="15.75" customHeight="1">
      <c r="A727" s="32"/>
    </row>
    <row r="728" ht="15.75" customHeight="1">
      <c r="A728" s="32"/>
    </row>
    <row r="729" ht="15.75" customHeight="1">
      <c r="A729" s="32"/>
    </row>
    <row r="730" ht="15.75" customHeight="1">
      <c r="A730" s="32"/>
    </row>
    <row r="731" ht="15.75" customHeight="1">
      <c r="A731" s="32"/>
    </row>
    <row r="732" ht="15.75" customHeight="1">
      <c r="A732" s="32"/>
    </row>
    <row r="733" ht="15.75" customHeight="1">
      <c r="A733" s="32"/>
    </row>
    <row r="734" ht="15.75" customHeight="1">
      <c r="A734" s="32"/>
    </row>
    <row r="735" ht="15.75" customHeight="1">
      <c r="A735" s="32"/>
    </row>
    <row r="736" ht="15.75" customHeight="1">
      <c r="A736" s="32"/>
    </row>
    <row r="737" ht="15.75" customHeight="1">
      <c r="A737" s="32"/>
    </row>
    <row r="738" ht="15.75" customHeight="1">
      <c r="A738" s="32"/>
    </row>
    <row r="739" ht="15.75" customHeight="1">
      <c r="A739" s="32"/>
    </row>
    <row r="740" ht="15.75" customHeight="1">
      <c r="A740" s="32"/>
    </row>
    <row r="741" ht="15.75" customHeight="1">
      <c r="A741" s="32"/>
    </row>
    <row r="742" ht="15.75" customHeight="1">
      <c r="A742" s="32"/>
    </row>
    <row r="743" ht="15.75" customHeight="1">
      <c r="A743" s="32"/>
    </row>
    <row r="744" ht="15.75" customHeight="1">
      <c r="A744" s="32"/>
    </row>
    <row r="745" ht="15.75" customHeight="1">
      <c r="A745" s="32"/>
    </row>
    <row r="746" ht="15.75" customHeight="1">
      <c r="A746" s="32"/>
    </row>
    <row r="747" ht="15.75" customHeight="1">
      <c r="A747" s="32"/>
    </row>
    <row r="748" ht="15.75" customHeight="1">
      <c r="A748" s="32"/>
    </row>
    <row r="749" ht="15.75" customHeight="1">
      <c r="A749" s="32"/>
    </row>
    <row r="750" ht="15.75" customHeight="1">
      <c r="A750" s="32"/>
    </row>
    <row r="751" ht="15.75" customHeight="1">
      <c r="A751" s="32"/>
    </row>
    <row r="752" ht="15.75" customHeight="1">
      <c r="A752" s="32"/>
    </row>
    <row r="753" ht="15.75" customHeight="1">
      <c r="A753" s="32"/>
    </row>
    <row r="754" ht="15.75" customHeight="1">
      <c r="A754" s="32"/>
    </row>
    <row r="755" ht="15.75" customHeight="1">
      <c r="A755" s="32"/>
    </row>
    <row r="756" ht="15.75" customHeight="1">
      <c r="A756" s="32"/>
    </row>
    <row r="757" ht="15.75" customHeight="1">
      <c r="A757" s="32"/>
    </row>
    <row r="758" ht="15.75" customHeight="1">
      <c r="A758" s="32"/>
    </row>
    <row r="759" ht="15.75" customHeight="1">
      <c r="A759" s="32"/>
    </row>
    <row r="760" ht="15.75" customHeight="1">
      <c r="A760" s="32"/>
    </row>
    <row r="761" ht="15.75" customHeight="1">
      <c r="A761" s="32"/>
    </row>
    <row r="762" ht="15.75" customHeight="1">
      <c r="A762" s="32"/>
    </row>
    <row r="763" ht="15.75" customHeight="1">
      <c r="A763" s="32"/>
    </row>
    <row r="764" ht="15.75" customHeight="1">
      <c r="A764" s="32"/>
    </row>
    <row r="765" ht="15.75" customHeight="1">
      <c r="A765" s="32"/>
    </row>
    <row r="766" ht="15.75" customHeight="1">
      <c r="A766" s="32"/>
    </row>
    <row r="767" ht="15.75" customHeight="1">
      <c r="A767" s="32"/>
    </row>
    <row r="768" ht="15.75" customHeight="1">
      <c r="A768" s="32"/>
    </row>
    <row r="769" ht="15.75" customHeight="1">
      <c r="A769" s="32"/>
    </row>
    <row r="770" ht="15.75" customHeight="1">
      <c r="A770" s="32"/>
    </row>
    <row r="771" ht="15.75" customHeight="1">
      <c r="A771" s="32"/>
    </row>
    <row r="772" ht="15.75" customHeight="1">
      <c r="A772" s="32"/>
    </row>
    <row r="773" ht="15.75" customHeight="1">
      <c r="A773" s="32"/>
    </row>
    <row r="774" ht="15.75" customHeight="1">
      <c r="A774" s="32"/>
    </row>
    <row r="775" ht="15.75" customHeight="1">
      <c r="A775" s="32"/>
    </row>
    <row r="776" ht="15.75" customHeight="1">
      <c r="A776" s="32"/>
    </row>
    <row r="777" ht="15.75" customHeight="1">
      <c r="A777" s="32"/>
    </row>
    <row r="778" ht="15.75" customHeight="1">
      <c r="A778" s="32"/>
    </row>
    <row r="779" ht="15.75" customHeight="1">
      <c r="A779" s="32"/>
    </row>
    <row r="780" ht="15.75" customHeight="1">
      <c r="A780" s="32"/>
    </row>
    <row r="781" ht="15.75" customHeight="1">
      <c r="A781" s="32"/>
    </row>
    <row r="782" ht="15.75" customHeight="1">
      <c r="A782" s="32"/>
    </row>
    <row r="783" ht="15.75" customHeight="1">
      <c r="A783" s="32"/>
    </row>
    <row r="784" ht="15.75" customHeight="1">
      <c r="A784" s="32"/>
    </row>
    <row r="785" ht="15.75" customHeight="1">
      <c r="A785" s="32"/>
    </row>
    <row r="786" ht="15.75" customHeight="1">
      <c r="A786" s="32"/>
    </row>
    <row r="787" ht="15.75" customHeight="1">
      <c r="A787" s="32"/>
    </row>
    <row r="788" ht="15.75" customHeight="1">
      <c r="A788" s="32"/>
    </row>
    <row r="789" ht="15.75" customHeight="1">
      <c r="A789" s="32"/>
    </row>
    <row r="790" ht="15.75" customHeight="1">
      <c r="A790" s="32"/>
    </row>
    <row r="791" ht="15.75" customHeight="1">
      <c r="A791" s="32"/>
    </row>
    <row r="792" ht="15.75" customHeight="1">
      <c r="A792" s="32"/>
    </row>
    <row r="793" ht="15.75" customHeight="1">
      <c r="A793" s="32"/>
    </row>
    <row r="794" ht="15.75" customHeight="1">
      <c r="A794" s="32"/>
    </row>
    <row r="795" ht="15.75" customHeight="1">
      <c r="A795" s="32"/>
    </row>
    <row r="796" ht="15.75" customHeight="1">
      <c r="A796" s="32"/>
    </row>
    <row r="797" ht="15.75" customHeight="1">
      <c r="A797" s="32"/>
    </row>
    <row r="798" ht="15.75" customHeight="1">
      <c r="A798" s="32"/>
    </row>
    <row r="799" ht="15.75" customHeight="1">
      <c r="A799" s="32"/>
    </row>
    <row r="800" ht="15.75" customHeight="1">
      <c r="A800" s="32"/>
    </row>
    <row r="801" ht="15.75" customHeight="1">
      <c r="A801" s="32"/>
    </row>
    <row r="802" ht="15.75" customHeight="1">
      <c r="A802" s="32"/>
    </row>
    <row r="803" ht="15.75" customHeight="1">
      <c r="A803" s="32"/>
    </row>
    <row r="804" ht="15.75" customHeight="1">
      <c r="A804" s="32"/>
    </row>
    <row r="805" ht="15.75" customHeight="1">
      <c r="A805" s="32"/>
    </row>
    <row r="806" ht="15.75" customHeight="1">
      <c r="A806" s="32"/>
    </row>
    <row r="807" ht="15.75" customHeight="1">
      <c r="A807" s="32"/>
    </row>
    <row r="808" ht="15.75" customHeight="1">
      <c r="A808" s="32"/>
    </row>
    <row r="809" ht="15.75" customHeight="1">
      <c r="A809" s="32"/>
    </row>
    <row r="810" ht="15.75" customHeight="1">
      <c r="A810" s="32"/>
    </row>
    <row r="811" ht="15.75" customHeight="1">
      <c r="A811" s="32"/>
    </row>
    <row r="812" ht="15.75" customHeight="1">
      <c r="A812" s="32"/>
    </row>
    <row r="813" ht="15.75" customHeight="1">
      <c r="A813" s="32"/>
    </row>
    <row r="814" ht="15.75" customHeight="1">
      <c r="A814" s="32"/>
    </row>
    <row r="815" ht="15.75" customHeight="1">
      <c r="A815" s="32"/>
    </row>
    <row r="816" ht="15.75" customHeight="1">
      <c r="A816" s="32"/>
    </row>
    <row r="817" ht="15.75" customHeight="1">
      <c r="A817" s="32"/>
    </row>
    <row r="818" ht="15.75" customHeight="1">
      <c r="A818" s="32"/>
    </row>
    <row r="819" ht="15.75" customHeight="1">
      <c r="A819" s="32"/>
    </row>
    <row r="820" ht="15.75" customHeight="1">
      <c r="A820" s="32"/>
    </row>
    <row r="821" ht="15.75" customHeight="1">
      <c r="A821" s="32"/>
    </row>
    <row r="822" ht="15.75" customHeight="1">
      <c r="A822" s="32"/>
    </row>
    <row r="823" ht="15.75" customHeight="1">
      <c r="A823" s="32"/>
    </row>
    <row r="824" ht="15.75" customHeight="1">
      <c r="A824" s="32"/>
    </row>
    <row r="825" ht="15.75" customHeight="1">
      <c r="A825" s="32"/>
    </row>
    <row r="826" ht="15.75" customHeight="1">
      <c r="A826" s="32"/>
    </row>
    <row r="827" ht="15.75" customHeight="1">
      <c r="A827" s="32"/>
    </row>
    <row r="828" ht="15.75" customHeight="1">
      <c r="A828" s="32"/>
    </row>
    <row r="829" ht="15.75" customHeight="1">
      <c r="A829" s="32"/>
    </row>
    <row r="830" ht="15.75" customHeight="1">
      <c r="A830" s="32"/>
    </row>
    <row r="831" ht="15.75" customHeight="1">
      <c r="A831" s="32"/>
    </row>
    <row r="832" ht="15.75" customHeight="1">
      <c r="A832" s="32"/>
    </row>
    <row r="833" ht="15.75" customHeight="1">
      <c r="A833" s="32"/>
    </row>
    <row r="834" ht="15.75" customHeight="1">
      <c r="A834" s="32"/>
    </row>
    <row r="835" ht="15.75" customHeight="1">
      <c r="A835" s="32"/>
    </row>
    <row r="836" ht="15.75" customHeight="1">
      <c r="A836" s="32"/>
    </row>
    <row r="837" ht="15.75" customHeight="1">
      <c r="A837" s="32"/>
    </row>
    <row r="838" ht="15.75" customHeight="1">
      <c r="A838" s="32"/>
    </row>
    <row r="839" ht="15.75" customHeight="1">
      <c r="A839" s="32"/>
    </row>
    <row r="840" ht="15.75" customHeight="1">
      <c r="A840" s="32"/>
    </row>
    <row r="841" ht="15.75" customHeight="1">
      <c r="A841" s="32"/>
    </row>
    <row r="842" ht="15.75" customHeight="1">
      <c r="A842" s="32"/>
    </row>
    <row r="843" ht="15.75" customHeight="1">
      <c r="A843" s="32"/>
    </row>
    <row r="844" ht="15.75" customHeight="1">
      <c r="A844" s="32"/>
    </row>
    <row r="845" ht="15.75" customHeight="1">
      <c r="A845" s="32"/>
    </row>
    <row r="846" ht="15.75" customHeight="1">
      <c r="A846" s="32"/>
    </row>
    <row r="847" ht="15.75" customHeight="1">
      <c r="A847" s="32"/>
    </row>
    <row r="848" ht="15.75" customHeight="1">
      <c r="A848" s="32"/>
    </row>
    <row r="849" ht="15.75" customHeight="1">
      <c r="A849" s="32"/>
    </row>
    <row r="850" ht="15.75" customHeight="1">
      <c r="A850" s="32"/>
    </row>
    <row r="851" ht="15.75" customHeight="1">
      <c r="A851" s="32"/>
    </row>
    <row r="852" ht="15.75" customHeight="1">
      <c r="A852" s="32"/>
    </row>
    <row r="853" ht="15.75" customHeight="1">
      <c r="A853" s="32"/>
    </row>
    <row r="854" ht="15.75" customHeight="1">
      <c r="A854" s="32"/>
    </row>
    <row r="855" ht="15.75" customHeight="1">
      <c r="A855" s="32"/>
    </row>
    <row r="856" ht="15.75" customHeight="1">
      <c r="A856" s="32"/>
    </row>
    <row r="857" ht="15.75" customHeight="1">
      <c r="A857" s="32"/>
    </row>
    <row r="858" ht="15.75" customHeight="1">
      <c r="A858" s="32"/>
    </row>
    <row r="859" ht="15.75" customHeight="1">
      <c r="A859" s="32"/>
    </row>
    <row r="860" ht="15.75" customHeight="1">
      <c r="A860" s="32"/>
    </row>
    <row r="861" ht="15.75" customHeight="1">
      <c r="A861" s="32"/>
    </row>
    <row r="862" ht="15.75" customHeight="1">
      <c r="A862" s="32"/>
    </row>
    <row r="863" ht="15.75" customHeight="1">
      <c r="A863" s="32"/>
    </row>
    <row r="864" ht="15.75" customHeight="1">
      <c r="A864" s="32"/>
    </row>
    <row r="865" ht="15.75" customHeight="1">
      <c r="A865" s="32"/>
    </row>
    <row r="866" ht="15.75" customHeight="1">
      <c r="A866" s="32"/>
    </row>
    <row r="867" ht="15.75" customHeight="1">
      <c r="A867" s="32"/>
    </row>
    <row r="868" ht="15.75" customHeight="1">
      <c r="A868" s="32"/>
    </row>
    <row r="869" ht="15.75" customHeight="1">
      <c r="A869" s="32"/>
    </row>
    <row r="870" ht="15.75" customHeight="1">
      <c r="A870" s="32"/>
    </row>
    <row r="871" ht="15.75" customHeight="1">
      <c r="A871" s="32"/>
    </row>
    <row r="872" ht="15.75" customHeight="1">
      <c r="A872" s="32"/>
    </row>
    <row r="873" ht="15.75" customHeight="1">
      <c r="A873" s="32"/>
    </row>
    <row r="874" ht="15.75" customHeight="1">
      <c r="A874" s="32"/>
    </row>
    <row r="875" ht="15.75" customHeight="1">
      <c r="A875" s="32"/>
    </row>
    <row r="876" ht="15.75" customHeight="1">
      <c r="A876" s="32"/>
    </row>
    <row r="877" ht="15.75" customHeight="1">
      <c r="A877" s="32"/>
    </row>
    <row r="878" ht="15.75" customHeight="1">
      <c r="A878" s="32"/>
    </row>
    <row r="879" ht="15.75" customHeight="1">
      <c r="A879" s="32"/>
    </row>
    <row r="880" ht="15.75" customHeight="1">
      <c r="A880" s="32"/>
    </row>
    <row r="881" ht="15.75" customHeight="1">
      <c r="A881" s="32"/>
    </row>
    <row r="882" ht="15.75" customHeight="1">
      <c r="A882" s="32"/>
    </row>
    <row r="883" ht="15.75" customHeight="1">
      <c r="A883" s="32"/>
    </row>
    <row r="884" ht="15.75" customHeight="1">
      <c r="A884" s="32"/>
    </row>
    <row r="885" ht="15.75" customHeight="1">
      <c r="A885" s="32"/>
    </row>
    <row r="886" ht="15.75" customHeight="1">
      <c r="A886" s="32"/>
    </row>
    <row r="887" ht="15.75" customHeight="1">
      <c r="A887" s="32"/>
    </row>
    <row r="888" ht="15.75" customHeight="1">
      <c r="A888" s="32"/>
    </row>
    <row r="889" ht="15.75" customHeight="1">
      <c r="A889" s="32"/>
    </row>
    <row r="890" ht="15.75" customHeight="1">
      <c r="A890" s="32"/>
    </row>
    <row r="891" ht="15.75" customHeight="1">
      <c r="A891" s="32"/>
    </row>
    <row r="892" ht="15.75" customHeight="1">
      <c r="A892" s="32"/>
    </row>
    <row r="893" ht="15.75" customHeight="1">
      <c r="A893" s="32"/>
    </row>
    <row r="894" ht="15.75" customHeight="1">
      <c r="A894" s="32"/>
    </row>
    <row r="895" ht="15.75" customHeight="1">
      <c r="A895" s="32"/>
    </row>
    <row r="896" ht="15.75" customHeight="1">
      <c r="A896" s="32"/>
    </row>
    <row r="897" ht="15.75" customHeight="1">
      <c r="A897" s="32"/>
    </row>
    <row r="898" ht="15.75" customHeight="1">
      <c r="A898" s="32"/>
    </row>
    <row r="899" ht="15.75" customHeight="1">
      <c r="A899" s="32"/>
    </row>
    <row r="900" ht="15.75" customHeight="1">
      <c r="A900" s="32"/>
    </row>
    <row r="901" ht="15.75" customHeight="1">
      <c r="A901" s="32"/>
    </row>
    <row r="902" ht="15.75" customHeight="1">
      <c r="A902" s="32"/>
    </row>
    <row r="903" ht="15.75" customHeight="1">
      <c r="A903" s="32"/>
    </row>
    <row r="904" ht="15.75" customHeight="1">
      <c r="A904" s="32"/>
    </row>
    <row r="905" ht="15.75" customHeight="1">
      <c r="A905" s="32"/>
    </row>
    <row r="906" ht="15.75" customHeight="1">
      <c r="A906" s="32"/>
    </row>
    <row r="907" ht="15.75" customHeight="1">
      <c r="A907" s="32"/>
    </row>
    <row r="908" ht="15.75" customHeight="1">
      <c r="A908" s="32"/>
    </row>
    <row r="909" ht="15.75" customHeight="1">
      <c r="A909" s="32"/>
    </row>
    <row r="910" ht="15.75" customHeight="1">
      <c r="A910" s="32"/>
    </row>
    <row r="911" ht="15.75" customHeight="1">
      <c r="A911" s="32"/>
    </row>
    <row r="912" ht="15.75" customHeight="1">
      <c r="A912" s="32"/>
    </row>
    <row r="913" ht="15.75" customHeight="1">
      <c r="A913" s="32"/>
    </row>
    <row r="914" ht="15.75" customHeight="1">
      <c r="A914" s="32"/>
    </row>
    <row r="915" ht="15.75" customHeight="1">
      <c r="A915" s="32"/>
    </row>
    <row r="916" ht="15.75" customHeight="1">
      <c r="A916" s="32"/>
    </row>
    <row r="917" ht="15.75" customHeight="1">
      <c r="A917" s="32"/>
    </row>
    <row r="918" ht="15.75" customHeight="1">
      <c r="A918" s="32"/>
    </row>
    <row r="919" ht="15.75" customHeight="1">
      <c r="A919" s="32"/>
    </row>
    <row r="920" ht="15.75" customHeight="1">
      <c r="A920" s="32"/>
    </row>
    <row r="921" ht="15.75" customHeight="1">
      <c r="A921" s="32"/>
    </row>
    <row r="922" ht="15.75" customHeight="1">
      <c r="A922" s="32"/>
    </row>
    <row r="923" ht="15.75" customHeight="1">
      <c r="A923" s="32"/>
    </row>
    <row r="924" ht="15.75" customHeight="1">
      <c r="A924" s="32"/>
    </row>
    <row r="925" ht="15.75" customHeight="1">
      <c r="A925" s="32"/>
    </row>
    <row r="926" ht="15.75" customHeight="1">
      <c r="A926" s="32"/>
    </row>
    <row r="927" ht="15.75" customHeight="1">
      <c r="A927" s="32"/>
    </row>
    <row r="928" ht="15.75" customHeight="1">
      <c r="A928" s="32"/>
    </row>
    <row r="929" ht="15.75" customHeight="1">
      <c r="A929" s="32"/>
    </row>
    <row r="930" ht="15.75" customHeight="1">
      <c r="A930" s="32"/>
    </row>
    <row r="931" ht="15.75" customHeight="1">
      <c r="A931" s="32"/>
    </row>
    <row r="932" ht="15.75" customHeight="1">
      <c r="A932" s="32"/>
    </row>
    <row r="933" ht="15.75" customHeight="1">
      <c r="A933" s="32"/>
    </row>
    <row r="934" ht="15.75" customHeight="1">
      <c r="A934" s="32"/>
    </row>
    <row r="935" ht="15.75" customHeight="1">
      <c r="A935" s="32"/>
    </row>
    <row r="936" ht="15.75" customHeight="1">
      <c r="A936" s="32"/>
    </row>
    <row r="937" ht="15.75" customHeight="1">
      <c r="A937" s="32"/>
    </row>
    <row r="938" ht="15.75" customHeight="1">
      <c r="A938" s="32"/>
    </row>
    <row r="939" ht="15.75" customHeight="1">
      <c r="A939" s="32"/>
    </row>
    <row r="940" ht="15.75" customHeight="1">
      <c r="A940" s="32"/>
    </row>
    <row r="941" ht="15.75" customHeight="1">
      <c r="A941" s="32"/>
    </row>
    <row r="942" ht="15.75" customHeight="1">
      <c r="A942" s="32"/>
    </row>
    <row r="943" ht="15.75" customHeight="1">
      <c r="A943" s="32"/>
    </row>
    <row r="944" ht="15.75" customHeight="1">
      <c r="A944" s="32"/>
    </row>
    <row r="945" ht="15.75" customHeight="1">
      <c r="A945" s="32"/>
    </row>
    <row r="946" ht="15.75" customHeight="1">
      <c r="A946" s="32"/>
    </row>
    <row r="947" ht="15.75" customHeight="1">
      <c r="A947" s="32"/>
    </row>
    <row r="948" ht="15.75" customHeight="1">
      <c r="A948" s="32"/>
    </row>
    <row r="949" ht="15.75" customHeight="1">
      <c r="A949" s="32"/>
    </row>
    <row r="950" ht="15.75" customHeight="1">
      <c r="A950" s="32"/>
    </row>
    <row r="951" ht="15.75" customHeight="1">
      <c r="A951" s="32"/>
    </row>
    <row r="952" ht="15.75" customHeight="1">
      <c r="A952" s="32"/>
    </row>
    <row r="953" ht="15.75" customHeight="1">
      <c r="A953" s="32"/>
    </row>
    <row r="954" ht="15.75" customHeight="1">
      <c r="A954" s="32"/>
    </row>
    <row r="955" ht="15.75" customHeight="1">
      <c r="A955" s="32"/>
    </row>
    <row r="956" ht="15.75" customHeight="1">
      <c r="A956" s="32"/>
    </row>
    <row r="957" ht="15.75" customHeight="1">
      <c r="A957" s="32"/>
    </row>
    <row r="958" ht="15.75" customHeight="1">
      <c r="A958" s="32"/>
    </row>
    <row r="959" ht="15.75" customHeight="1">
      <c r="A959" s="32"/>
    </row>
    <row r="960" ht="15.75" customHeight="1">
      <c r="A960" s="32"/>
    </row>
    <row r="961" ht="15.75" customHeight="1">
      <c r="A961" s="32"/>
    </row>
    <row r="962" ht="15.75" customHeight="1">
      <c r="A962" s="32"/>
    </row>
    <row r="963" ht="15.75" customHeight="1">
      <c r="A963" s="32"/>
    </row>
    <row r="964" ht="15.75" customHeight="1">
      <c r="A964" s="32"/>
    </row>
    <row r="965" ht="15.75" customHeight="1">
      <c r="A965" s="32"/>
    </row>
    <row r="966" ht="15.75" customHeight="1">
      <c r="A966" s="32"/>
    </row>
    <row r="967" ht="15.75" customHeight="1">
      <c r="A967" s="32"/>
    </row>
    <row r="968" ht="15.75" customHeight="1">
      <c r="A968" s="32"/>
    </row>
    <row r="969" ht="15.75" customHeight="1">
      <c r="A969" s="32"/>
    </row>
    <row r="970" ht="15.75" customHeight="1">
      <c r="A970" s="32"/>
    </row>
    <row r="971" ht="15.75" customHeight="1">
      <c r="A971" s="32"/>
    </row>
    <row r="972" ht="15.75" customHeight="1">
      <c r="A972" s="32"/>
    </row>
    <row r="973" ht="15.75" customHeight="1">
      <c r="A973" s="32"/>
    </row>
    <row r="974" ht="15.75" customHeight="1">
      <c r="A974" s="32"/>
    </row>
    <row r="975" ht="15.75" customHeight="1">
      <c r="A975" s="32"/>
    </row>
    <row r="976" ht="15.75" customHeight="1">
      <c r="A976" s="32"/>
    </row>
    <row r="977" ht="15.75" customHeight="1">
      <c r="A977" s="32"/>
    </row>
    <row r="978" ht="15.75" customHeight="1">
      <c r="A978" s="32"/>
    </row>
    <row r="979" ht="15.75" customHeight="1">
      <c r="A979" s="32"/>
    </row>
    <row r="980" ht="15.75" customHeight="1">
      <c r="A980" s="32"/>
    </row>
    <row r="981" ht="15.75" customHeight="1">
      <c r="A981" s="32"/>
    </row>
    <row r="982" ht="15.75" customHeight="1">
      <c r="A982" s="32"/>
    </row>
    <row r="983" ht="15.75" customHeight="1">
      <c r="A983" s="32"/>
    </row>
    <row r="984" ht="15.75" customHeight="1">
      <c r="A984" s="32"/>
    </row>
    <row r="985" ht="15.75" customHeight="1">
      <c r="A985" s="32"/>
    </row>
    <row r="986" ht="15.75" customHeight="1">
      <c r="A986" s="32"/>
    </row>
    <row r="987" ht="15.75" customHeight="1">
      <c r="A987" s="32"/>
    </row>
    <row r="988" ht="15.75" customHeight="1">
      <c r="A988" s="32"/>
    </row>
    <row r="989" ht="15.75" customHeight="1">
      <c r="A989" s="32"/>
    </row>
    <row r="990" ht="15.75" customHeight="1">
      <c r="A990" s="32"/>
    </row>
    <row r="991" ht="15.75" customHeight="1">
      <c r="A991" s="32"/>
    </row>
    <row r="992" ht="15.75" customHeight="1">
      <c r="A992" s="32"/>
    </row>
    <row r="993" ht="15.75" customHeight="1">
      <c r="A993" s="32"/>
    </row>
    <row r="994" ht="15.75" customHeight="1">
      <c r="A994" s="32"/>
    </row>
    <row r="995" ht="15.75" customHeight="1">
      <c r="A995" s="32"/>
    </row>
    <row r="996" ht="15.75" customHeight="1">
      <c r="A996" s="32"/>
    </row>
    <row r="997" ht="15.75" customHeight="1">
      <c r="A997" s="32"/>
    </row>
    <row r="998" ht="15.75" customHeight="1">
      <c r="A998" s="32"/>
    </row>
    <row r="999" ht="15.75" customHeight="1">
      <c r="A999" s="32"/>
    </row>
    <row r="1000" ht="15.75" customHeight="1">
      <c r="A1000" s="32"/>
    </row>
  </sheetData>
  <mergeCells count="1">
    <mergeCell ref="I61:J6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7.63"/>
    <col customWidth="1" min="9" max="9" width="17.63"/>
    <col customWidth="1" min="11" max="11" width="17.13"/>
    <col customWidth="1" min="12" max="12" width="15.88"/>
    <col customWidth="1" min="13" max="13" width="13.13"/>
    <col customWidth="1" min="14" max="14" width="12.75"/>
    <col customWidth="1" min="15" max="15" width="20.13"/>
  </cols>
  <sheetData>
    <row r="1" ht="15.75" customHeight="1">
      <c r="A1" s="33" t="s">
        <v>121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36" t="s">
        <v>123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/>
      <c r="B4" s="42"/>
      <c r="C4" s="43"/>
      <c r="D4" s="44"/>
      <c r="F4" s="45">
        <v>45713.0</v>
      </c>
      <c r="G4" s="46" t="s">
        <v>131</v>
      </c>
      <c r="H4" s="47">
        <v>20000.0</v>
      </c>
      <c r="I4" s="16" t="s">
        <v>132</v>
      </c>
    </row>
    <row r="5" ht="15.75" customHeight="1">
      <c r="A5" s="8"/>
      <c r="B5" s="42"/>
      <c r="C5" s="43"/>
      <c r="D5" s="44"/>
      <c r="F5" s="45">
        <v>45739.0</v>
      </c>
      <c r="G5" s="16" t="s">
        <v>133</v>
      </c>
      <c r="H5" s="11">
        <v>30352.0</v>
      </c>
      <c r="I5" s="16" t="s">
        <v>134</v>
      </c>
    </row>
    <row r="6" ht="15.75" customHeight="1">
      <c r="A6" s="8"/>
      <c r="B6" s="42"/>
      <c r="C6" s="43"/>
      <c r="D6" s="44"/>
      <c r="F6" s="45">
        <v>45739.0</v>
      </c>
      <c r="G6" s="48" t="s">
        <v>135</v>
      </c>
      <c r="H6" s="11">
        <v>2500.0</v>
      </c>
      <c r="I6" s="16" t="s">
        <v>134</v>
      </c>
      <c r="J6" s="49"/>
    </row>
    <row r="7" ht="15.75" customHeight="1">
      <c r="A7" s="8"/>
      <c r="B7" s="42"/>
      <c r="C7" s="43"/>
      <c r="D7" s="44"/>
      <c r="F7" s="45">
        <v>45739.0</v>
      </c>
      <c r="G7" s="50" t="s">
        <v>136</v>
      </c>
      <c r="H7" s="51">
        <v>160900.0</v>
      </c>
      <c r="I7" s="16" t="s">
        <v>134</v>
      </c>
      <c r="J7" s="52"/>
    </row>
    <row r="8" ht="15.75" customHeight="1">
      <c r="A8" s="8"/>
      <c r="B8" s="42"/>
      <c r="C8" s="43"/>
      <c r="D8" s="44"/>
      <c r="F8" s="45">
        <v>45739.0</v>
      </c>
      <c r="G8" s="53" t="s">
        <v>137</v>
      </c>
      <c r="H8" s="51">
        <v>17000.0</v>
      </c>
      <c r="I8" s="16" t="s">
        <v>134</v>
      </c>
      <c r="O8" s="54"/>
      <c r="P8" s="55"/>
    </row>
    <row r="9" ht="15.75" customHeight="1">
      <c r="A9" s="8"/>
      <c r="B9" s="42"/>
      <c r="C9" s="43"/>
      <c r="D9" s="44"/>
      <c r="F9" s="45">
        <v>45739.0</v>
      </c>
      <c r="G9" s="53" t="s">
        <v>138</v>
      </c>
      <c r="H9" s="51">
        <v>3250.0</v>
      </c>
      <c r="I9" s="16" t="s">
        <v>134</v>
      </c>
      <c r="J9" s="52"/>
      <c r="K9" s="52"/>
      <c r="L9" s="52"/>
      <c r="M9" s="56"/>
      <c r="N9" s="57"/>
    </row>
    <row r="10" ht="15.75" customHeight="1">
      <c r="A10" s="8"/>
      <c r="B10" s="42"/>
      <c r="C10" s="43"/>
      <c r="D10" s="44"/>
      <c r="F10" s="45">
        <v>45739.0</v>
      </c>
      <c r="G10" s="53" t="s">
        <v>139</v>
      </c>
      <c r="H10" s="51">
        <v>8442.0</v>
      </c>
      <c r="I10" s="16" t="s">
        <v>134</v>
      </c>
      <c r="J10" s="57"/>
      <c r="K10" s="52"/>
      <c r="L10" s="52"/>
      <c r="M10" s="56"/>
      <c r="N10" s="57"/>
    </row>
    <row r="11" ht="15.75" customHeight="1">
      <c r="A11" s="8"/>
      <c r="B11" s="42"/>
      <c r="C11" s="43"/>
      <c r="D11" s="44"/>
      <c r="F11" s="45">
        <v>45739.0</v>
      </c>
      <c r="G11" s="53" t="s">
        <v>140</v>
      </c>
      <c r="H11" s="51">
        <v>8100.0</v>
      </c>
      <c r="I11" s="16" t="s">
        <v>134</v>
      </c>
      <c r="J11" s="57"/>
      <c r="K11" s="57"/>
      <c r="L11" s="56"/>
      <c r="M11" s="56"/>
      <c r="N11" s="57"/>
    </row>
    <row r="12" ht="15.75" customHeight="1">
      <c r="A12" s="8"/>
      <c r="B12" s="42"/>
      <c r="C12" s="43"/>
      <c r="D12" s="44"/>
      <c r="F12" s="45">
        <v>45740.0</v>
      </c>
      <c r="G12" s="42" t="s">
        <v>141</v>
      </c>
      <c r="H12" s="51">
        <v>2900.0</v>
      </c>
      <c r="I12" s="16" t="s">
        <v>134</v>
      </c>
      <c r="J12" s="52" t="s">
        <v>142</v>
      </c>
      <c r="K12" s="57"/>
      <c r="L12" s="56"/>
      <c r="M12" s="56"/>
      <c r="N12" s="57"/>
    </row>
    <row r="13" ht="15.75" customHeight="1">
      <c r="A13" s="8"/>
      <c r="B13" s="42"/>
      <c r="C13" s="43"/>
      <c r="D13" s="44"/>
      <c r="F13" s="45">
        <v>45740.0</v>
      </c>
      <c r="G13" s="42" t="s">
        <v>143</v>
      </c>
      <c r="H13" s="51">
        <v>2900.0</v>
      </c>
      <c r="I13" s="16" t="s">
        <v>134</v>
      </c>
      <c r="J13" s="57"/>
      <c r="K13" s="57"/>
      <c r="L13" s="56"/>
      <c r="M13" s="56"/>
      <c r="N13" s="57"/>
    </row>
    <row r="14" ht="15.75" customHeight="1">
      <c r="A14" s="8"/>
      <c r="B14" s="42"/>
      <c r="C14" s="43"/>
      <c r="D14" s="44"/>
      <c r="F14" s="45">
        <v>45740.0</v>
      </c>
      <c r="G14" s="42" t="s">
        <v>144</v>
      </c>
      <c r="H14" s="51">
        <v>2900.0</v>
      </c>
      <c r="I14" s="16" t="s">
        <v>134</v>
      </c>
      <c r="J14" s="57"/>
      <c r="K14" s="57"/>
      <c r="L14" s="56"/>
      <c r="M14" s="56"/>
      <c r="N14" s="57"/>
    </row>
    <row r="15" ht="15.0" customHeight="1">
      <c r="A15" s="8"/>
      <c r="B15" s="42"/>
      <c r="C15" s="43"/>
      <c r="D15" s="44"/>
      <c r="F15" s="45">
        <v>45740.0</v>
      </c>
      <c r="G15" s="42" t="s">
        <v>145</v>
      </c>
      <c r="H15" s="51">
        <v>2900.0</v>
      </c>
      <c r="I15" s="16" t="s">
        <v>134</v>
      </c>
      <c r="J15" s="57"/>
      <c r="K15" s="57"/>
      <c r="L15" s="56"/>
      <c r="M15" s="56"/>
      <c r="N15" s="57"/>
    </row>
    <row r="16" ht="15.0" customHeight="1">
      <c r="A16" s="8"/>
      <c r="B16" s="42"/>
      <c r="C16" s="43"/>
      <c r="D16" s="44"/>
      <c r="F16" s="45">
        <v>45740.0</v>
      </c>
      <c r="G16" s="42" t="s">
        <v>146</v>
      </c>
      <c r="H16" s="51">
        <v>2900.0</v>
      </c>
      <c r="I16" s="16" t="s">
        <v>134</v>
      </c>
      <c r="J16" s="57"/>
      <c r="K16" s="57"/>
      <c r="L16" s="56"/>
      <c r="M16" s="56"/>
      <c r="N16" s="57"/>
    </row>
    <row r="17" ht="15.0" customHeight="1">
      <c r="A17" s="8"/>
      <c r="B17" s="42"/>
      <c r="C17" s="43"/>
      <c r="D17" s="44"/>
      <c r="F17" s="45">
        <v>45740.0</v>
      </c>
      <c r="G17" s="53" t="s">
        <v>147</v>
      </c>
      <c r="H17" s="51">
        <v>3600.0</v>
      </c>
      <c r="I17" s="16" t="s">
        <v>134</v>
      </c>
      <c r="J17" s="57"/>
      <c r="K17" s="57"/>
      <c r="L17" s="56"/>
      <c r="M17" s="56"/>
      <c r="N17" s="57"/>
    </row>
    <row r="18" ht="15.0" customHeight="1">
      <c r="A18" s="8"/>
      <c r="B18" s="42"/>
      <c r="C18" s="43"/>
      <c r="D18" s="44"/>
      <c r="F18" s="45"/>
      <c r="G18" s="53"/>
      <c r="H18" s="51"/>
      <c r="I18" s="16"/>
      <c r="J18" s="57"/>
      <c r="K18" s="57"/>
      <c r="L18" s="58" t="s">
        <v>148</v>
      </c>
      <c r="M18" s="59">
        <f>sum(M19:M36)</f>
        <v>3550</v>
      </c>
      <c r="N18" s="57"/>
    </row>
    <row r="19" ht="15.0" customHeight="1">
      <c r="A19" s="8"/>
      <c r="B19" s="42"/>
      <c r="C19" s="43"/>
      <c r="D19" s="44"/>
      <c r="F19" s="45"/>
      <c r="G19" s="53"/>
      <c r="H19" s="51"/>
      <c r="I19" s="16"/>
      <c r="J19" s="57"/>
      <c r="K19" s="57"/>
      <c r="L19" s="52" t="s">
        <v>149</v>
      </c>
      <c r="M19" s="60">
        <v>2000.0</v>
      </c>
      <c r="N19" s="57"/>
    </row>
    <row r="20" ht="15.0" customHeight="1">
      <c r="A20" s="8"/>
      <c r="B20" s="42"/>
      <c r="C20" s="43"/>
      <c r="D20" s="44"/>
      <c r="F20" s="45"/>
      <c r="G20" s="53"/>
      <c r="H20" s="51"/>
      <c r="I20" s="16"/>
      <c r="J20" s="57"/>
      <c r="K20" s="57"/>
      <c r="L20" s="52" t="s">
        <v>150</v>
      </c>
      <c r="M20" s="60">
        <v>0.0</v>
      </c>
      <c r="N20" s="57"/>
    </row>
    <row r="21" ht="15.0" customHeight="1">
      <c r="A21" s="8"/>
      <c r="B21" s="42"/>
      <c r="C21" s="43"/>
      <c r="D21" s="44"/>
      <c r="F21" s="45"/>
      <c r="G21" s="53"/>
      <c r="H21" s="51"/>
      <c r="I21" s="16"/>
      <c r="J21" s="57"/>
      <c r="K21" s="57"/>
      <c r="L21" s="52" t="s">
        <v>151</v>
      </c>
      <c r="M21" s="60">
        <v>50.0</v>
      </c>
      <c r="N21" s="57"/>
    </row>
    <row r="22" ht="15.0" customHeight="1">
      <c r="A22" s="8"/>
      <c r="B22" s="42"/>
      <c r="C22" s="43"/>
      <c r="D22" s="44"/>
      <c r="F22" s="45"/>
      <c r="G22" s="53"/>
      <c r="H22" s="51"/>
      <c r="I22" s="16"/>
      <c r="J22" s="57"/>
      <c r="K22" s="57"/>
      <c r="L22" s="52" t="s">
        <v>139</v>
      </c>
      <c r="M22" s="60">
        <v>200.0</v>
      </c>
      <c r="N22" s="57"/>
    </row>
    <row r="23" ht="15.0" customHeight="1">
      <c r="A23" s="8"/>
      <c r="B23" s="42"/>
      <c r="C23" s="43"/>
      <c r="D23" s="44"/>
      <c r="F23" s="45"/>
      <c r="G23" s="53"/>
      <c r="H23" s="51"/>
      <c r="I23" s="16"/>
      <c r="J23" s="57"/>
      <c r="K23" s="57"/>
      <c r="L23" s="52" t="s">
        <v>152</v>
      </c>
      <c r="M23" s="60">
        <v>200.0</v>
      </c>
      <c r="N23" s="57"/>
    </row>
    <row r="24" ht="15.0" customHeight="1">
      <c r="A24" s="8"/>
      <c r="B24" s="42"/>
      <c r="C24" s="43"/>
      <c r="D24" s="44"/>
      <c r="F24" s="45"/>
      <c r="G24" s="53"/>
      <c r="H24" s="51"/>
      <c r="I24" s="16"/>
      <c r="J24" s="57"/>
      <c r="K24" s="57"/>
      <c r="L24" s="52" t="s">
        <v>138</v>
      </c>
      <c r="M24" s="60">
        <v>50.0</v>
      </c>
      <c r="N24" s="57"/>
    </row>
    <row r="25" ht="15.0" customHeight="1">
      <c r="A25" s="8"/>
      <c r="B25" s="42"/>
      <c r="C25" s="43"/>
      <c r="D25" s="44"/>
      <c r="F25" s="45"/>
      <c r="G25" s="53"/>
      <c r="H25" s="51"/>
      <c r="I25" s="16"/>
      <c r="J25" s="57"/>
      <c r="K25" s="57"/>
      <c r="L25" s="52" t="s">
        <v>153</v>
      </c>
      <c r="M25" s="60">
        <v>300.0</v>
      </c>
      <c r="N25" s="57"/>
    </row>
    <row r="26" ht="15.0" customHeight="1">
      <c r="A26" s="8"/>
      <c r="B26" s="42"/>
      <c r="C26" s="43"/>
      <c r="D26" s="44"/>
      <c r="F26" s="45"/>
      <c r="G26" s="53"/>
      <c r="H26" s="51"/>
      <c r="I26" s="16"/>
      <c r="J26" s="57"/>
      <c r="K26" s="57"/>
      <c r="L26" s="52" t="s">
        <v>154</v>
      </c>
      <c r="M26" s="60">
        <v>200.0</v>
      </c>
      <c r="N26" s="57">
        <f>9000/50</f>
        <v>180</v>
      </c>
    </row>
    <row r="27" ht="15.0" customHeight="1">
      <c r="A27" s="8"/>
      <c r="B27" s="42"/>
      <c r="C27" s="43"/>
      <c r="D27" s="44"/>
      <c r="F27" s="45"/>
      <c r="G27" s="53"/>
      <c r="H27" s="51"/>
      <c r="I27" s="16"/>
      <c r="J27" s="57"/>
      <c r="K27" s="57"/>
      <c r="L27" s="52" t="s">
        <v>155</v>
      </c>
      <c r="M27" s="60">
        <v>250.0</v>
      </c>
      <c r="N27" s="57">
        <f>12000/50</f>
        <v>240</v>
      </c>
    </row>
    <row r="28" ht="15.0" customHeight="1">
      <c r="A28" s="8"/>
      <c r="B28" s="42"/>
      <c r="C28" s="43"/>
      <c r="D28" s="44"/>
      <c r="F28" s="45"/>
      <c r="G28" s="53"/>
      <c r="H28" s="51"/>
      <c r="I28" s="16"/>
      <c r="J28" s="57"/>
      <c r="K28" s="57"/>
      <c r="L28" s="52" t="s">
        <v>156</v>
      </c>
      <c r="M28" s="60">
        <v>200.0</v>
      </c>
      <c r="N28" s="57"/>
    </row>
    <row r="29" ht="15.0" customHeight="1">
      <c r="A29" s="8"/>
      <c r="B29" s="42"/>
      <c r="C29" s="43"/>
      <c r="D29" s="44"/>
      <c r="F29" s="45"/>
      <c r="G29" s="53"/>
      <c r="H29" s="51"/>
      <c r="I29" s="16"/>
      <c r="J29" s="57"/>
      <c r="K29" s="57"/>
      <c r="L29" s="52" t="s">
        <v>147</v>
      </c>
      <c r="M29" s="60">
        <v>100.0</v>
      </c>
      <c r="N29" s="57"/>
    </row>
    <row r="30" ht="15.0" customHeight="1">
      <c r="A30" s="8"/>
      <c r="B30" s="42"/>
      <c r="C30" s="43"/>
      <c r="D30" s="44"/>
      <c r="F30" s="45"/>
      <c r="G30" s="53"/>
      <c r="H30" s="51"/>
      <c r="I30" s="16"/>
      <c r="J30" s="57"/>
      <c r="K30" s="57"/>
      <c r="L30" s="56"/>
      <c r="M30" s="61"/>
      <c r="N30" s="57"/>
    </row>
    <row r="31" ht="15.0" customHeight="1">
      <c r="A31" s="8"/>
      <c r="B31" s="42"/>
      <c r="C31" s="43"/>
      <c r="D31" s="44"/>
      <c r="F31" s="45"/>
      <c r="G31" s="53"/>
      <c r="H31" s="51"/>
      <c r="I31" s="16"/>
      <c r="J31" s="57"/>
      <c r="K31" s="57"/>
      <c r="L31" s="56"/>
      <c r="M31" s="61"/>
      <c r="N31" s="57"/>
    </row>
    <row r="32" ht="15.0" customHeight="1">
      <c r="A32" s="8"/>
      <c r="B32" s="42"/>
      <c r="C32" s="43"/>
      <c r="D32" s="44"/>
      <c r="F32" s="45"/>
      <c r="G32" s="53"/>
      <c r="H32" s="51"/>
      <c r="I32" s="16"/>
      <c r="J32" s="57"/>
      <c r="K32" s="57"/>
      <c r="L32" s="56"/>
      <c r="M32" s="61"/>
      <c r="N32" s="57"/>
    </row>
    <row r="33" ht="15.0" customHeight="1">
      <c r="A33" s="8"/>
      <c r="B33" s="42"/>
      <c r="C33" s="43"/>
      <c r="D33" s="44"/>
      <c r="F33" s="45"/>
      <c r="G33" s="53"/>
      <c r="H33" s="51"/>
      <c r="I33" s="16"/>
      <c r="J33" s="57"/>
      <c r="K33" s="57"/>
      <c r="L33" s="56"/>
      <c r="M33" s="61"/>
      <c r="N33" s="57"/>
    </row>
    <row r="34" ht="15.0" customHeight="1">
      <c r="A34" s="8"/>
      <c r="B34" s="42"/>
      <c r="C34" s="43"/>
      <c r="D34" s="44"/>
      <c r="F34" s="45"/>
      <c r="G34" s="53"/>
      <c r="H34" s="51"/>
      <c r="I34" s="16"/>
      <c r="J34" s="57"/>
      <c r="K34" s="57"/>
      <c r="L34" s="56"/>
      <c r="M34" s="61"/>
      <c r="N34" s="57"/>
    </row>
    <row r="35" ht="15.0" customHeight="1">
      <c r="A35" s="8"/>
      <c r="B35" s="42"/>
      <c r="C35" s="43"/>
      <c r="D35" s="44"/>
      <c r="F35" s="45"/>
      <c r="G35" s="53"/>
      <c r="H35" s="51"/>
      <c r="I35" s="16"/>
      <c r="J35" s="57"/>
      <c r="K35" s="57"/>
      <c r="L35" s="56"/>
      <c r="M35" s="61"/>
      <c r="N35" s="57"/>
    </row>
    <row r="36" ht="15.0" customHeight="1">
      <c r="A36" s="8"/>
      <c r="B36" s="42"/>
      <c r="C36" s="43"/>
      <c r="D36" s="44"/>
      <c r="F36" s="45"/>
      <c r="G36" s="53"/>
      <c r="H36" s="51"/>
      <c r="I36" s="16"/>
      <c r="J36" s="57"/>
      <c r="K36" s="57"/>
      <c r="L36" s="56"/>
      <c r="M36" s="61"/>
      <c r="N36" s="57"/>
    </row>
    <row r="37" ht="15.0" customHeight="1">
      <c r="A37" s="8"/>
      <c r="B37" s="42"/>
      <c r="C37" s="43"/>
      <c r="D37" s="44"/>
      <c r="F37" s="45"/>
      <c r="G37" s="53"/>
      <c r="H37" s="51"/>
      <c r="I37" s="16"/>
      <c r="J37" s="57"/>
      <c r="K37" s="57"/>
      <c r="L37" s="56"/>
      <c r="M37" s="61"/>
      <c r="N37" s="57"/>
    </row>
    <row r="38" ht="15.75" customHeight="1">
      <c r="A38" s="8"/>
      <c r="B38" s="42"/>
      <c r="C38" s="43"/>
      <c r="D38" s="44"/>
      <c r="F38" s="45"/>
      <c r="G38" s="53"/>
      <c r="H38" s="51"/>
      <c r="I38" s="16"/>
      <c r="J38" s="57"/>
      <c r="K38" s="57"/>
      <c r="L38" s="56"/>
      <c r="M38" s="61"/>
      <c r="N38" s="57"/>
    </row>
    <row r="39" ht="15.75" customHeight="1">
      <c r="A39" s="8"/>
      <c r="B39" s="42"/>
      <c r="C39" s="43"/>
      <c r="D39" s="44"/>
      <c r="F39" s="45"/>
      <c r="G39" s="53"/>
      <c r="H39" s="51"/>
      <c r="I39" s="16"/>
      <c r="J39" s="57"/>
      <c r="K39" s="57"/>
      <c r="L39" s="56"/>
      <c r="M39" s="56"/>
      <c r="N39" s="57"/>
    </row>
    <row r="40" ht="15.75" customHeight="1">
      <c r="A40" s="8"/>
      <c r="B40" s="42"/>
      <c r="C40" s="43"/>
      <c r="D40" s="44"/>
      <c r="F40" s="45"/>
      <c r="G40" s="53"/>
      <c r="H40" s="51"/>
      <c r="I40" s="16"/>
      <c r="J40" s="57"/>
      <c r="K40" s="57"/>
      <c r="L40" s="56"/>
      <c r="M40" s="56"/>
      <c r="N40" s="57"/>
    </row>
    <row r="41" ht="15.75" customHeight="1">
      <c r="A41" s="8"/>
      <c r="B41" s="42"/>
      <c r="C41" s="43"/>
      <c r="D41" s="44"/>
      <c r="F41" s="45"/>
      <c r="G41" s="53"/>
      <c r="H41" s="51"/>
      <c r="I41" s="16"/>
      <c r="J41" s="57"/>
      <c r="K41" s="57"/>
      <c r="L41" s="56"/>
      <c r="M41" s="56"/>
      <c r="N41" s="57"/>
    </row>
    <row r="42" ht="15.75" customHeight="1">
      <c r="A42" s="8"/>
      <c r="B42" s="42"/>
      <c r="C42" s="43"/>
      <c r="D42" s="44"/>
      <c r="F42" s="45"/>
      <c r="G42" s="53"/>
      <c r="H42" s="51"/>
      <c r="I42" s="16"/>
      <c r="J42" s="57"/>
      <c r="K42" s="57"/>
      <c r="L42" s="56"/>
      <c r="M42" s="56"/>
      <c r="N42" s="57"/>
    </row>
    <row r="43" ht="15.75" customHeight="1">
      <c r="A43" s="8"/>
      <c r="B43" s="42"/>
      <c r="C43" s="43"/>
      <c r="D43" s="44"/>
      <c r="F43" s="45"/>
      <c r="G43" s="53"/>
      <c r="H43" s="51"/>
      <c r="I43" s="16"/>
      <c r="J43" s="57"/>
      <c r="K43" s="57"/>
      <c r="L43" s="56"/>
      <c r="M43" s="56"/>
      <c r="N43" s="57"/>
    </row>
    <row r="44" ht="15.75" customHeight="1">
      <c r="A44" s="8"/>
      <c r="B44" s="42"/>
      <c r="C44" s="43"/>
      <c r="D44" s="44"/>
      <c r="F44" s="45"/>
      <c r="G44" s="53"/>
      <c r="H44" s="51"/>
      <c r="I44" s="16"/>
      <c r="L44" s="62"/>
      <c r="M44" s="62"/>
    </row>
    <row r="45" ht="15.75" customHeight="1">
      <c r="A45" s="8"/>
      <c r="B45" s="42"/>
      <c r="C45" s="43"/>
      <c r="D45" s="44"/>
      <c r="F45" s="45"/>
      <c r="G45" s="53"/>
      <c r="H45" s="51"/>
      <c r="I45" s="16"/>
      <c r="L45" s="62"/>
      <c r="M45" s="62"/>
    </row>
    <row r="46" ht="15.75" customHeight="1">
      <c r="A46" s="8"/>
      <c r="B46" s="42"/>
      <c r="C46" s="43"/>
      <c r="D46" s="44"/>
      <c r="F46" s="45"/>
      <c r="G46" s="53"/>
      <c r="H46" s="51"/>
      <c r="I46" s="16"/>
      <c r="L46" s="62"/>
      <c r="M46" s="62"/>
    </row>
    <row r="47" ht="15.75" customHeight="1">
      <c r="A47" s="8"/>
      <c r="B47" s="42"/>
      <c r="C47" s="43"/>
      <c r="D47" s="44"/>
      <c r="F47" s="13"/>
      <c r="G47" s="63"/>
      <c r="H47" s="8"/>
      <c r="I47" s="7"/>
      <c r="L47" s="62"/>
      <c r="M47" s="62"/>
    </row>
    <row r="48" ht="15.75" customHeight="1">
      <c r="A48" s="8"/>
      <c r="B48" s="42"/>
      <c r="C48" s="43"/>
      <c r="D48" s="44"/>
      <c r="F48" s="13"/>
      <c r="G48" s="63"/>
      <c r="H48" s="8"/>
      <c r="I48" s="7"/>
      <c r="L48" s="62"/>
      <c r="M48" s="62"/>
    </row>
    <row r="49" ht="15.75" customHeight="1">
      <c r="A49" s="8"/>
      <c r="B49" s="42"/>
      <c r="C49" s="43"/>
      <c r="D49" s="44"/>
      <c r="F49" s="13"/>
      <c r="G49" s="63"/>
      <c r="H49" s="8"/>
      <c r="I49" s="7"/>
      <c r="L49" s="62"/>
      <c r="M49" s="62"/>
    </row>
    <row r="50" ht="15.75" customHeight="1">
      <c r="A50" s="8"/>
      <c r="B50" s="42"/>
      <c r="C50" s="43"/>
      <c r="D50" s="44"/>
      <c r="F50" s="13"/>
      <c r="G50" s="63"/>
      <c r="H50" s="8"/>
      <c r="I50" s="7"/>
      <c r="L50" s="62"/>
      <c r="M50" s="62"/>
    </row>
    <row r="51" ht="15.75" customHeight="1">
      <c r="A51" s="8"/>
      <c r="B51" s="42"/>
      <c r="C51" s="43"/>
      <c r="D51" s="44"/>
      <c r="F51" s="13"/>
      <c r="G51" s="63"/>
      <c r="H51" s="8"/>
      <c r="I51" s="7"/>
      <c r="L51" s="62"/>
      <c r="M51" s="62"/>
    </row>
    <row r="52" ht="15.75" customHeight="1">
      <c r="A52" s="8"/>
      <c r="B52" s="42"/>
      <c r="C52" s="43"/>
      <c r="D52" s="44"/>
      <c r="F52" s="13"/>
      <c r="G52" s="63"/>
      <c r="H52" s="8"/>
      <c r="I52" s="7"/>
      <c r="L52" s="62"/>
      <c r="M52" s="62"/>
    </row>
    <row r="53" ht="15.75" customHeight="1">
      <c r="A53" s="8"/>
      <c r="B53" s="42"/>
      <c r="C53" s="43"/>
      <c r="D53" s="44"/>
      <c r="F53" s="13"/>
      <c r="G53" s="63"/>
      <c r="H53" s="8"/>
      <c r="I53" s="7"/>
      <c r="L53" s="62"/>
      <c r="M53" s="62"/>
    </row>
    <row r="54" ht="15.75" customHeight="1">
      <c r="A54" s="8"/>
      <c r="B54" s="42"/>
      <c r="C54" s="43"/>
      <c r="D54" s="44"/>
      <c r="F54" s="13"/>
      <c r="G54" s="63"/>
      <c r="H54" s="8"/>
      <c r="I54" s="7"/>
      <c r="L54" s="62"/>
      <c r="M54" s="62"/>
    </row>
    <row r="55" ht="15.75" customHeight="1">
      <c r="A55" s="8"/>
      <c r="B55" s="42"/>
      <c r="C55" s="43"/>
      <c r="D55" s="44"/>
      <c r="F55" s="13"/>
      <c r="G55" s="63"/>
      <c r="H55" s="8"/>
      <c r="I55" s="7"/>
      <c r="L55" s="62"/>
      <c r="M55" s="62"/>
    </row>
    <row r="56" ht="15.75" customHeight="1">
      <c r="A56" s="8"/>
      <c r="B56" s="42"/>
      <c r="C56" s="43"/>
      <c r="D56" s="44"/>
      <c r="F56" s="13"/>
      <c r="G56" s="63"/>
      <c r="H56" s="8"/>
      <c r="I56" s="7"/>
      <c r="L56" s="62"/>
      <c r="M56" s="62"/>
    </row>
    <row r="57" ht="15.75" customHeight="1">
      <c r="A57" s="8"/>
      <c r="B57" s="42"/>
      <c r="C57" s="43"/>
      <c r="D57" s="43"/>
      <c r="F57" s="13"/>
      <c r="G57" s="63"/>
      <c r="H57" s="11"/>
      <c r="I57" s="7"/>
      <c r="L57" s="54"/>
      <c r="M57" s="54"/>
    </row>
    <row r="58" ht="15.75" customHeight="1">
      <c r="A58" s="8"/>
      <c r="B58" s="42"/>
      <c r="C58" s="43"/>
      <c r="D58" s="43"/>
      <c r="F58" s="13"/>
      <c r="G58" s="63"/>
      <c r="H58" s="8"/>
      <c r="I58" s="7"/>
    </row>
    <row r="59" ht="15.75" customHeight="1">
      <c r="A59" s="8"/>
      <c r="B59" s="42"/>
      <c r="C59" s="43"/>
      <c r="D59" s="43"/>
      <c r="F59" s="13"/>
      <c r="G59" s="63"/>
      <c r="H59" s="8"/>
      <c r="I59" s="7"/>
    </row>
    <row r="60" ht="15.75" customHeight="1">
      <c r="A60" s="8"/>
      <c r="B60" s="42"/>
      <c r="C60" s="43"/>
      <c r="D60" s="43"/>
      <c r="F60" s="13"/>
      <c r="G60" s="63"/>
      <c r="H60" s="8"/>
      <c r="I60" s="7"/>
    </row>
    <row r="61" ht="15.75" customHeight="1">
      <c r="A61" s="8"/>
      <c r="B61" s="42"/>
      <c r="C61" s="43"/>
      <c r="D61" s="43"/>
      <c r="F61" s="13"/>
      <c r="G61" s="63"/>
      <c r="H61" s="8"/>
      <c r="I61" s="7"/>
      <c r="M61" s="64" t="s">
        <v>153</v>
      </c>
      <c r="N61" s="64">
        <f>24000/35</f>
        <v>685.7142857</v>
      </c>
    </row>
    <row r="62" ht="15.75" customHeight="1">
      <c r="A62" s="8">
        <v>59.0</v>
      </c>
      <c r="B62" s="42" t="s">
        <v>151</v>
      </c>
      <c r="C62" s="43">
        <v>0.0</v>
      </c>
      <c r="D62" s="43"/>
      <c r="F62" s="13"/>
      <c r="G62" s="63"/>
      <c r="H62" s="8"/>
      <c r="I62" s="7"/>
      <c r="N62" s="65">
        <f>12000/35</f>
        <v>342.8571429</v>
      </c>
    </row>
    <row r="63" ht="15.75" customHeight="1">
      <c r="N63" s="65">
        <f>2000/35</f>
        <v>57.14285714</v>
      </c>
      <c r="O63" s="54"/>
      <c r="P63" s="55"/>
    </row>
    <row r="64" ht="15.75" customHeight="1">
      <c r="A64" s="5"/>
      <c r="B64" s="66" t="s">
        <v>119</v>
      </c>
      <c r="C64" s="66">
        <f>SUM(C4:C62)</f>
        <v>0</v>
      </c>
      <c r="D64" s="5"/>
      <c r="E64" s="5"/>
      <c r="F64" s="5"/>
      <c r="G64" s="66" t="s">
        <v>119</v>
      </c>
      <c r="H64" s="66">
        <f>SUM(H4:H62)</f>
        <v>268644</v>
      </c>
      <c r="I64" s="5"/>
      <c r="O64" s="54"/>
      <c r="P64" s="55"/>
    </row>
    <row r="65" ht="15.75" customHeight="1">
      <c r="O65" s="54"/>
      <c r="P65" s="55"/>
    </row>
    <row r="66" ht="15.75" customHeight="1">
      <c r="G66" s="67" t="s">
        <v>157</v>
      </c>
      <c r="H66" s="2">
        <f>C64-H64</f>
        <v>-268644</v>
      </c>
      <c r="M66" s="65">
        <f>4000-M69</f>
        <v>61.5</v>
      </c>
      <c r="N66" s="65">
        <f>M66*L67</f>
        <v>3321</v>
      </c>
      <c r="O66" s="54"/>
      <c r="P66" s="55"/>
    </row>
    <row r="67" ht="14.25" customHeight="1">
      <c r="G67" s="68" t="s">
        <v>158</v>
      </c>
      <c r="H67" s="2">
        <f>H4</f>
        <v>20000</v>
      </c>
      <c r="K67" s="65">
        <f>K69*L67</f>
        <v>41090</v>
      </c>
      <c r="L67" s="64">
        <v>54.0</v>
      </c>
    </row>
    <row r="68" ht="15.75" customHeight="1">
      <c r="G68" s="69" t="s">
        <v>159</v>
      </c>
      <c r="H68" s="2">
        <f>H66+H67</f>
        <v>-248644</v>
      </c>
      <c r="J68" s="70" t="s">
        <v>160</v>
      </c>
      <c r="K68" s="70" t="s">
        <v>161</v>
      </c>
      <c r="L68" s="70" t="s">
        <v>162</v>
      </c>
      <c r="M68" s="71" t="s">
        <v>163</v>
      </c>
      <c r="N68" s="71" t="s">
        <v>164</v>
      </c>
    </row>
    <row r="69" ht="15.75" customHeight="1">
      <c r="J69" s="72" t="s">
        <v>119</v>
      </c>
      <c r="K69" s="73">
        <f>sum(K70:K80)</f>
        <v>760.9259259</v>
      </c>
      <c r="L69" s="74">
        <f>K69*L67</f>
        <v>41090</v>
      </c>
      <c r="M69" s="75">
        <f t="shared" ref="M69:N69" si="1">sum(M70:M80)</f>
        <v>3938.5</v>
      </c>
      <c r="N69" s="75">
        <f t="shared" si="1"/>
        <v>183129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J70" s="76" t="s">
        <v>165</v>
      </c>
      <c r="L70" s="74">
        <f>M70*L67</f>
        <v>172800</v>
      </c>
      <c r="M70" s="76">
        <v>3200.0</v>
      </c>
      <c r="N70" s="77">
        <v>112000.0</v>
      </c>
    </row>
    <row r="71" ht="15.75" customHeight="1">
      <c r="J71" s="78" t="s">
        <v>156</v>
      </c>
      <c r="K71" s="79">
        <v>210.0</v>
      </c>
      <c r="L71" s="74">
        <f>K71*L67</f>
        <v>11340</v>
      </c>
      <c r="N71" s="77">
        <v>7000.0</v>
      </c>
      <c r="O71" s="54"/>
    </row>
    <row r="72" ht="15.75" customHeight="1">
      <c r="I72" s="64" t="s">
        <v>166</v>
      </c>
      <c r="J72" s="76" t="s">
        <v>139</v>
      </c>
      <c r="L72" s="74">
        <f>M72*L67</f>
        <v>8100</v>
      </c>
      <c r="M72" s="76">
        <v>150.0</v>
      </c>
      <c r="N72" s="77">
        <v>5250.0</v>
      </c>
    </row>
    <row r="73" ht="15.75" customHeight="1">
      <c r="I73" s="64" t="s">
        <v>167</v>
      </c>
      <c r="J73" s="76" t="s">
        <v>151</v>
      </c>
      <c r="L73" s="74">
        <f>M73*L67</f>
        <v>2511</v>
      </c>
      <c r="M73" s="76">
        <v>46.5</v>
      </c>
      <c r="N73" s="80">
        <f>L73</f>
        <v>2511</v>
      </c>
    </row>
    <row r="74" ht="15.75" customHeight="1">
      <c r="I74" s="64" t="s">
        <v>168</v>
      </c>
      <c r="J74" s="76" t="s">
        <v>169</v>
      </c>
      <c r="L74" s="74">
        <f>K74*35</f>
        <v>0</v>
      </c>
      <c r="M74" s="81" t="str">
        <f>K74</f>
        <v/>
      </c>
      <c r="P74" s="82"/>
    </row>
    <row r="75" ht="15.75" customHeight="1">
      <c r="I75" s="64" t="s">
        <v>170</v>
      </c>
      <c r="J75" s="78" t="s">
        <v>153</v>
      </c>
      <c r="K75" s="79">
        <f>L75/L67</f>
        <v>277.7777778</v>
      </c>
      <c r="L75" s="83">
        <v>15000.0</v>
      </c>
      <c r="N75" s="80">
        <f>L75</f>
        <v>15000</v>
      </c>
      <c r="P75" s="82"/>
    </row>
    <row r="76" ht="15.75" customHeight="1">
      <c r="J76" s="76" t="s">
        <v>171</v>
      </c>
      <c r="L76" s="74">
        <f>K76*35</f>
        <v>0</v>
      </c>
      <c r="M76" s="76">
        <v>542.0</v>
      </c>
      <c r="N76" s="77">
        <f>M76*L67</f>
        <v>29268</v>
      </c>
      <c r="P76" s="82"/>
    </row>
    <row r="77" ht="15.75" customHeight="1">
      <c r="J77" s="78" t="s">
        <v>140</v>
      </c>
      <c r="K77" s="79">
        <v>150.0</v>
      </c>
      <c r="L77" s="74">
        <f>K77*L67</f>
        <v>8100</v>
      </c>
      <c r="N77" s="80">
        <f>L77</f>
        <v>8100</v>
      </c>
    </row>
    <row r="78" ht="15.75" customHeight="1">
      <c r="J78" s="78" t="s">
        <v>172</v>
      </c>
      <c r="K78" s="79">
        <f>L78/L67</f>
        <v>0</v>
      </c>
      <c r="L78" s="83">
        <v>0.0</v>
      </c>
      <c r="N78" s="77"/>
    </row>
    <row r="79" ht="15.75" customHeight="1">
      <c r="J79" s="78" t="s">
        <v>138</v>
      </c>
      <c r="K79" s="79">
        <f>L79/L67</f>
        <v>60.18518519</v>
      </c>
      <c r="L79" s="83">
        <v>3250.0</v>
      </c>
      <c r="N79" s="76">
        <v>2500.0</v>
      </c>
    </row>
    <row r="80" ht="15.75" customHeight="1">
      <c r="J80" s="78" t="s">
        <v>147</v>
      </c>
      <c r="K80" s="79">
        <f>L80/L67</f>
        <v>62.96296296</v>
      </c>
      <c r="L80" s="83">
        <v>3400.0</v>
      </c>
      <c r="N80" s="76">
        <v>1500.0</v>
      </c>
    </row>
    <row r="81" ht="15.75" customHeight="1"/>
    <row r="82" ht="15.75" customHeight="1">
      <c r="O82" s="54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3">
    <mergeCell ref="A1:I1"/>
    <mergeCell ref="A2:D2"/>
    <mergeCell ref="F2:I2"/>
  </mergeCells>
  <dataValidations>
    <dataValidation type="custom" allowBlank="1" showDropDown="1" sqref="K69:L80">
      <formula1>AND(ISNUMBER(K69),(NOT(OR(NOT(ISERROR(DATEVALUE(K69))), AND(ISNUMBER(K69), LEFT(CELL("format", K69))="D")))))</formula1>
    </dataValidation>
  </dataValidation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3" width="12.63"/>
    <col customWidth="1" min="4" max="4" width="13.5"/>
    <col customWidth="1" min="5" max="5" width="3.38"/>
    <col customWidth="1" min="6" max="6" width="15.38"/>
    <col customWidth="1" min="7" max="7" width="35.13"/>
    <col customWidth="1" min="9" max="9" width="18.88"/>
    <col customWidth="1" min="11" max="11" width="17.13"/>
    <col customWidth="1" min="15" max="15" width="20.13"/>
  </cols>
  <sheetData>
    <row r="1" ht="15.75" customHeight="1">
      <c r="A1" s="33" t="s">
        <v>173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174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11</v>
      </c>
      <c r="C4" s="86">
        <v>3800.0</v>
      </c>
      <c r="D4" s="11"/>
      <c r="E4" s="87"/>
      <c r="F4" s="45">
        <v>46060.0</v>
      </c>
      <c r="G4" s="88" t="s">
        <v>175</v>
      </c>
      <c r="H4" s="47">
        <v>10000.0</v>
      </c>
      <c r="I4" s="16" t="s">
        <v>176</v>
      </c>
    </row>
    <row r="5" ht="15.75" customHeight="1">
      <c r="A5" s="8">
        <v>2.0</v>
      </c>
      <c r="B5" s="85" t="s">
        <v>36</v>
      </c>
      <c r="C5" s="86">
        <v>3800.0</v>
      </c>
      <c r="D5" s="7"/>
      <c r="E5" s="87"/>
      <c r="F5" s="45">
        <v>46073.0</v>
      </c>
      <c r="G5" s="16" t="s">
        <v>139</v>
      </c>
      <c r="H5" s="11">
        <v>1080.0</v>
      </c>
      <c r="I5" s="16" t="s">
        <v>134</v>
      </c>
    </row>
    <row r="6" ht="15.75" customHeight="1">
      <c r="A6" s="8">
        <v>3.0</v>
      </c>
      <c r="B6" s="85" t="s">
        <v>177</v>
      </c>
      <c r="C6" s="86">
        <v>3800.0</v>
      </c>
      <c r="D6" s="11"/>
      <c r="E6" s="87"/>
      <c r="F6" s="45">
        <v>46075.0</v>
      </c>
      <c r="G6" s="16" t="s">
        <v>178</v>
      </c>
      <c r="H6" s="11">
        <v>42500.0</v>
      </c>
      <c r="I6" s="16" t="s">
        <v>134</v>
      </c>
      <c r="J6" s="49"/>
    </row>
    <row r="7" ht="15.75" customHeight="1">
      <c r="A7" s="8">
        <v>4.0</v>
      </c>
      <c r="B7" s="85" t="s">
        <v>179</v>
      </c>
      <c r="C7" s="86">
        <v>3800.0</v>
      </c>
      <c r="D7" s="8"/>
      <c r="E7" s="87"/>
      <c r="F7" s="45">
        <v>46076.0</v>
      </c>
      <c r="G7" s="48" t="s">
        <v>180</v>
      </c>
      <c r="H7" s="11">
        <v>3300.0</v>
      </c>
      <c r="I7" s="16" t="s">
        <v>134</v>
      </c>
      <c r="J7" s="52"/>
    </row>
    <row r="8" ht="15.75" customHeight="1">
      <c r="A8" s="8">
        <v>5.0</v>
      </c>
      <c r="B8" s="85" t="s">
        <v>49</v>
      </c>
      <c r="C8" s="86">
        <v>3800.0</v>
      </c>
      <c r="D8" s="8"/>
      <c r="E8" s="87"/>
      <c r="F8" s="45">
        <v>46076.0</v>
      </c>
      <c r="G8" s="48" t="s">
        <v>181</v>
      </c>
      <c r="H8" s="11">
        <v>1500.0</v>
      </c>
      <c r="I8" s="16" t="s">
        <v>134</v>
      </c>
      <c r="O8" s="54"/>
      <c r="P8" s="55"/>
    </row>
    <row r="9" ht="15.75" customHeight="1">
      <c r="A9" s="8">
        <v>6.0</v>
      </c>
      <c r="B9" s="85" t="s">
        <v>182</v>
      </c>
      <c r="C9" s="86">
        <v>3800.0</v>
      </c>
      <c r="D9" s="8"/>
      <c r="E9" s="87"/>
      <c r="F9" s="45">
        <v>46076.0</v>
      </c>
      <c r="G9" s="89" t="s">
        <v>183</v>
      </c>
      <c r="H9" s="51">
        <v>1500.0</v>
      </c>
      <c r="I9" s="16" t="s">
        <v>134</v>
      </c>
      <c r="K9" s="57"/>
      <c r="L9" s="62"/>
      <c r="M9" s="62"/>
    </row>
    <row r="10" ht="15.75" customHeight="1">
      <c r="A10" s="8">
        <v>7.0</v>
      </c>
      <c r="B10" s="85" t="s">
        <v>184</v>
      </c>
      <c r="C10" s="86">
        <v>3800.0</v>
      </c>
      <c r="D10" s="8"/>
      <c r="E10" s="87"/>
      <c r="F10" s="45">
        <v>46076.0</v>
      </c>
      <c r="G10" s="89" t="s">
        <v>185</v>
      </c>
      <c r="H10" s="51">
        <v>1500.0</v>
      </c>
      <c r="I10" s="16" t="s">
        <v>134</v>
      </c>
      <c r="J10" s="57"/>
      <c r="K10" s="57"/>
      <c r="L10" s="62"/>
      <c r="M10" s="62"/>
    </row>
    <row r="11" ht="15.75" customHeight="1">
      <c r="A11" s="8">
        <v>8.0</v>
      </c>
      <c r="B11" s="85" t="s">
        <v>186</v>
      </c>
      <c r="C11" s="86">
        <v>3800.0</v>
      </c>
      <c r="D11" s="8"/>
      <c r="E11" s="87"/>
      <c r="F11" s="45">
        <v>46076.0</v>
      </c>
      <c r="G11" s="89" t="s">
        <v>187</v>
      </c>
      <c r="H11" s="51">
        <v>1500.0</v>
      </c>
      <c r="I11" s="16" t="s">
        <v>134</v>
      </c>
      <c r="J11" s="57"/>
      <c r="K11" s="57"/>
      <c r="L11" s="62"/>
      <c r="M11" s="62"/>
    </row>
    <row r="12" ht="15.75" customHeight="1">
      <c r="A12" s="8">
        <v>9.0</v>
      </c>
      <c r="B12" s="85" t="s">
        <v>188</v>
      </c>
      <c r="C12" s="86">
        <v>3800.0</v>
      </c>
      <c r="D12" s="11"/>
      <c r="E12" s="87"/>
      <c r="F12" s="45"/>
      <c r="G12" s="53"/>
      <c r="H12" s="51"/>
      <c r="I12" s="16"/>
      <c r="J12" s="57"/>
      <c r="K12" s="57"/>
      <c r="L12" s="62"/>
      <c r="M12" s="62"/>
    </row>
    <row r="13" ht="15.75" customHeight="1">
      <c r="A13" s="8">
        <v>10.0</v>
      </c>
      <c r="B13" s="85" t="s">
        <v>189</v>
      </c>
      <c r="C13" s="86">
        <v>3800.0</v>
      </c>
      <c r="D13" s="11"/>
      <c r="E13" s="87"/>
      <c r="F13" s="45"/>
      <c r="G13" s="53"/>
      <c r="H13" s="51"/>
      <c r="I13" s="16"/>
      <c r="J13" s="57"/>
      <c r="K13" s="57"/>
      <c r="L13" s="62"/>
      <c r="M13" s="62"/>
    </row>
    <row r="14" ht="15.75" customHeight="1">
      <c r="A14" s="8">
        <v>11.0</v>
      </c>
      <c r="B14" s="85" t="s">
        <v>190</v>
      </c>
      <c r="C14" s="86">
        <v>3800.0</v>
      </c>
      <c r="D14" s="8"/>
      <c r="E14" s="87"/>
      <c r="F14" s="45"/>
      <c r="G14" s="53"/>
      <c r="H14" s="51"/>
      <c r="I14" s="16"/>
      <c r="J14" s="57"/>
      <c r="K14" s="57"/>
      <c r="L14" s="62"/>
      <c r="M14" s="62"/>
    </row>
    <row r="15" ht="15.75" customHeight="1">
      <c r="A15" s="90">
        <v>12.0</v>
      </c>
      <c r="B15" s="85" t="s">
        <v>191</v>
      </c>
      <c r="C15" s="86">
        <v>3800.0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85" t="s">
        <v>192</v>
      </c>
      <c r="C16" s="86">
        <v>3800.0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85" t="s">
        <v>193</v>
      </c>
      <c r="C17" s="86">
        <v>3800.0</v>
      </c>
      <c r="D17" s="25"/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85" t="s">
        <v>194</v>
      </c>
      <c r="C18" s="86">
        <v>2000.0</v>
      </c>
      <c r="D18" s="91" t="s">
        <v>195</v>
      </c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85" t="s">
        <v>196</v>
      </c>
      <c r="C19" s="86">
        <v>2000.0</v>
      </c>
      <c r="D19" s="91" t="s">
        <v>195</v>
      </c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85" t="s">
        <v>197</v>
      </c>
      <c r="C20" s="86">
        <v>2000.0</v>
      </c>
      <c r="D20" s="91" t="s">
        <v>195</v>
      </c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85" t="s">
        <v>15</v>
      </c>
      <c r="C21" s="86">
        <v>2000.0</v>
      </c>
      <c r="D21" s="91" t="s">
        <v>195</v>
      </c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85" t="s">
        <v>198</v>
      </c>
      <c r="C22" s="86">
        <v>2000.0</v>
      </c>
      <c r="D22" s="91" t="s">
        <v>195</v>
      </c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85" t="s">
        <v>199</v>
      </c>
      <c r="C23" s="86">
        <v>2000.0</v>
      </c>
      <c r="D23" s="91" t="s">
        <v>195</v>
      </c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85" t="s">
        <v>200</v>
      </c>
      <c r="C24" s="86">
        <v>3800.0</v>
      </c>
      <c r="D24" s="11" t="s">
        <v>201</v>
      </c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85" t="s">
        <v>202</v>
      </c>
      <c r="C25" s="86">
        <v>2000.0</v>
      </c>
      <c r="D25" s="11" t="s">
        <v>201</v>
      </c>
      <c r="E25" s="87"/>
      <c r="F25" s="13"/>
      <c r="G25" s="63"/>
      <c r="H25" s="8"/>
      <c r="I25" s="7"/>
      <c r="L25" s="62"/>
      <c r="M25" s="62"/>
    </row>
    <row r="26" ht="15.75" customHeight="1">
      <c r="A26" s="92">
        <v>23.0</v>
      </c>
      <c r="B26" s="85" t="s">
        <v>203</v>
      </c>
      <c r="C26" s="86">
        <v>2000.0</v>
      </c>
      <c r="D26" s="11" t="s">
        <v>201</v>
      </c>
      <c r="E26" s="87"/>
      <c r="F26" s="13"/>
      <c r="G26" s="63"/>
      <c r="H26" s="8"/>
      <c r="I26" s="7"/>
      <c r="L26" s="62"/>
      <c r="M26" s="62"/>
    </row>
    <row r="27" ht="15.75" customHeight="1">
      <c r="A27" s="92">
        <v>24.0</v>
      </c>
      <c r="B27" s="85" t="s">
        <v>204</v>
      </c>
      <c r="C27" s="86">
        <v>2000.0</v>
      </c>
      <c r="D27" s="11" t="s">
        <v>201</v>
      </c>
      <c r="E27" s="87"/>
      <c r="F27" s="13"/>
      <c r="G27" s="63"/>
      <c r="H27" s="8"/>
      <c r="I27" s="7"/>
      <c r="L27" s="62"/>
      <c r="M27" s="62"/>
    </row>
    <row r="28" ht="15.75" customHeight="1">
      <c r="A28" s="92">
        <v>25.0</v>
      </c>
      <c r="B28" s="85" t="s">
        <v>205</v>
      </c>
      <c r="C28" s="86">
        <v>2000.0</v>
      </c>
      <c r="D28" s="11" t="s">
        <v>201</v>
      </c>
      <c r="E28" s="87"/>
      <c r="F28" s="13"/>
      <c r="G28" s="63"/>
      <c r="H28" s="11"/>
      <c r="I28" s="7"/>
      <c r="L28" s="54"/>
      <c r="M28" s="54"/>
    </row>
    <row r="29" ht="15.75" customHeight="1">
      <c r="A29" s="92"/>
      <c r="B29" s="85"/>
      <c r="C29" s="86"/>
      <c r="D29" s="11"/>
      <c r="E29" s="87"/>
      <c r="F29" s="13"/>
      <c r="G29" s="63"/>
      <c r="H29" s="11"/>
      <c r="I29" s="7"/>
      <c r="L29" s="54"/>
      <c r="M29" s="54"/>
    </row>
    <row r="30" ht="15.75" customHeight="1">
      <c r="A30" s="92"/>
      <c r="B30" s="85"/>
      <c r="C30" s="86"/>
      <c r="D30" s="11"/>
      <c r="E30" s="87"/>
      <c r="F30" s="13"/>
      <c r="G30" s="63"/>
      <c r="H30" s="11"/>
      <c r="I30" s="7"/>
      <c r="L30" s="54"/>
      <c r="M30" s="54"/>
    </row>
    <row r="31" ht="15.75" customHeight="1">
      <c r="A31" s="92"/>
      <c r="B31" s="85"/>
      <c r="C31" s="86"/>
      <c r="D31" s="8"/>
      <c r="E31" s="87"/>
      <c r="F31" s="13"/>
      <c r="G31" s="63"/>
      <c r="H31" s="8"/>
      <c r="I31" s="7"/>
    </row>
    <row r="32" ht="15.75" customHeight="1"/>
    <row r="33" ht="15.75" customHeight="1">
      <c r="A33" s="5"/>
      <c r="B33" s="66" t="s">
        <v>119</v>
      </c>
      <c r="C33" s="66">
        <f>SUM(C4:C31)</f>
        <v>77000</v>
      </c>
      <c r="D33" s="5"/>
      <c r="E33" s="5"/>
      <c r="F33" s="5"/>
      <c r="G33" s="66" t="s">
        <v>119</v>
      </c>
      <c r="H33" s="66">
        <f>SUM(H4:H31)</f>
        <v>62880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/>
    <row r="35" ht="15.75" customHeight="1">
      <c r="G35" s="67" t="s">
        <v>157</v>
      </c>
      <c r="H35" s="2">
        <f>C33-H33</f>
        <v>14120</v>
      </c>
      <c r="O35" s="54"/>
    </row>
    <row r="36" ht="15.75" customHeight="1">
      <c r="G36" s="68" t="s">
        <v>206</v>
      </c>
      <c r="H36" s="2">
        <f>H4</f>
        <v>10000</v>
      </c>
    </row>
    <row r="37" ht="15.75" customHeight="1">
      <c r="G37" s="69" t="s">
        <v>159</v>
      </c>
      <c r="H37" s="2">
        <f>H35+H36</f>
        <v>24120</v>
      </c>
    </row>
    <row r="38" ht="15.75" customHeight="1">
      <c r="P38" s="82"/>
    </row>
    <row r="39" ht="15.75" customHeight="1">
      <c r="P39" s="82"/>
    </row>
    <row r="40" ht="15.75" customHeight="1">
      <c r="P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O46" s="5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3" width="12.63"/>
    <col customWidth="1" min="4" max="4" width="13.5"/>
    <col customWidth="1" min="5" max="5" width="3.38"/>
    <col customWidth="1" min="6" max="6" width="15.38"/>
    <col customWidth="1" min="7" max="7" width="35.13"/>
    <col customWidth="1" min="9" max="9" width="18.88"/>
    <col customWidth="1" min="11" max="11" width="17.13"/>
    <col customWidth="1" min="15" max="15" width="20.13"/>
  </cols>
  <sheetData>
    <row r="1" ht="15.75" customHeight="1">
      <c r="A1" s="33" t="s">
        <v>207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174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11</v>
      </c>
      <c r="C4" s="86">
        <v>6800.0</v>
      </c>
      <c r="D4" s="11"/>
      <c r="E4" s="87"/>
      <c r="F4" s="45">
        <v>45932.0</v>
      </c>
      <c r="G4" s="88" t="s">
        <v>175</v>
      </c>
      <c r="H4" s="47">
        <v>10000.0</v>
      </c>
      <c r="I4" s="16" t="s">
        <v>134</v>
      </c>
    </row>
    <row r="5" ht="15.75" customHeight="1">
      <c r="A5" s="8">
        <v>2.0</v>
      </c>
      <c r="B5" s="85" t="s">
        <v>179</v>
      </c>
      <c r="C5" s="86">
        <v>6800.0</v>
      </c>
      <c r="D5" s="7"/>
      <c r="E5" s="87"/>
      <c r="F5" s="45">
        <v>46047.0</v>
      </c>
      <c r="G5" s="16" t="s">
        <v>178</v>
      </c>
      <c r="H5" s="11">
        <v>110000.0</v>
      </c>
      <c r="I5" s="16" t="s">
        <v>132</v>
      </c>
    </row>
    <row r="6" ht="15.75" customHeight="1">
      <c r="A6" s="8">
        <v>3.0</v>
      </c>
      <c r="B6" s="85" t="s">
        <v>208</v>
      </c>
      <c r="C6" s="86">
        <v>6800.0</v>
      </c>
      <c r="D6" s="11"/>
      <c r="E6" s="87"/>
      <c r="F6" s="45">
        <v>46047.0</v>
      </c>
      <c r="G6" s="16" t="s">
        <v>209</v>
      </c>
      <c r="H6" s="11">
        <v>4000.0</v>
      </c>
      <c r="I6" s="16" t="s">
        <v>132</v>
      </c>
      <c r="J6" s="49" t="s">
        <v>210</v>
      </c>
    </row>
    <row r="7" ht="15.75" customHeight="1">
      <c r="A7" s="8">
        <v>4.0</v>
      </c>
      <c r="B7" s="85" t="s">
        <v>203</v>
      </c>
      <c r="C7" s="86">
        <v>6800.0</v>
      </c>
      <c r="D7" s="8"/>
      <c r="E7" s="87"/>
      <c r="F7" s="45">
        <v>46050.0</v>
      </c>
      <c r="G7" s="48" t="s">
        <v>211</v>
      </c>
      <c r="H7" s="11">
        <v>12150.0</v>
      </c>
      <c r="I7" s="16" t="s">
        <v>132</v>
      </c>
      <c r="J7" s="52">
        <f>450*27</f>
        <v>12150</v>
      </c>
    </row>
    <row r="8" ht="15.75" customHeight="1">
      <c r="A8" s="8">
        <v>5.0</v>
      </c>
      <c r="B8" s="85" t="s">
        <v>52</v>
      </c>
      <c r="C8" s="86">
        <v>6800.0</v>
      </c>
      <c r="D8" s="8"/>
      <c r="E8" s="87"/>
      <c r="F8" s="45">
        <v>46050.0</v>
      </c>
      <c r="G8" s="53" t="s">
        <v>212</v>
      </c>
      <c r="H8" s="11">
        <v>5000.0</v>
      </c>
      <c r="I8" s="16" t="s">
        <v>132</v>
      </c>
      <c r="O8" s="54"/>
      <c r="P8" s="55"/>
    </row>
    <row r="9" ht="15.75" customHeight="1">
      <c r="A9" s="8">
        <v>6.0</v>
      </c>
      <c r="B9" s="85" t="s">
        <v>36</v>
      </c>
      <c r="C9" s="86">
        <v>6800.0</v>
      </c>
      <c r="D9" s="8"/>
      <c r="E9" s="87"/>
      <c r="F9" s="45">
        <v>46050.0</v>
      </c>
      <c r="G9" s="53" t="s">
        <v>213</v>
      </c>
      <c r="H9" s="51">
        <v>5850.0</v>
      </c>
      <c r="I9" s="16" t="s">
        <v>132</v>
      </c>
      <c r="K9" s="57"/>
      <c r="L9" s="62"/>
      <c r="M9" s="62"/>
    </row>
    <row r="10" ht="15.75" customHeight="1">
      <c r="A10" s="8">
        <v>7.0</v>
      </c>
      <c r="B10" s="85" t="s">
        <v>47</v>
      </c>
      <c r="C10" s="86">
        <v>6800.0</v>
      </c>
      <c r="D10" s="8"/>
      <c r="E10" s="87"/>
      <c r="F10" s="45">
        <v>46050.0</v>
      </c>
      <c r="G10" s="53" t="s">
        <v>214</v>
      </c>
      <c r="H10" s="51">
        <v>5850.0</v>
      </c>
      <c r="I10" s="16" t="s">
        <v>132</v>
      </c>
      <c r="J10" s="57"/>
      <c r="K10" s="57"/>
      <c r="L10" s="62"/>
      <c r="M10" s="62"/>
    </row>
    <row r="11" ht="15.75" customHeight="1">
      <c r="A11" s="8">
        <v>8.0</v>
      </c>
      <c r="B11" s="85" t="s">
        <v>193</v>
      </c>
      <c r="C11" s="86">
        <v>6800.0</v>
      </c>
      <c r="D11" s="8"/>
      <c r="E11" s="87"/>
      <c r="F11" s="45">
        <v>46050.0</v>
      </c>
      <c r="G11" s="53" t="s">
        <v>215</v>
      </c>
      <c r="H11" s="51">
        <v>3850.0</v>
      </c>
      <c r="I11" s="16" t="s">
        <v>132</v>
      </c>
      <c r="J11" s="57"/>
      <c r="K11" s="57"/>
      <c r="L11" s="62"/>
      <c r="M11" s="62"/>
    </row>
    <row r="12" ht="15.75" customHeight="1">
      <c r="A12" s="8">
        <v>9.0</v>
      </c>
      <c r="B12" s="85" t="s">
        <v>186</v>
      </c>
      <c r="C12" s="86">
        <v>6800.0</v>
      </c>
      <c r="D12" s="11"/>
      <c r="E12" s="87"/>
      <c r="F12" s="45">
        <v>46050.0</v>
      </c>
      <c r="G12" s="53" t="s">
        <v>216</v>
      </c>
      <c r="H12" s="51">
        <v>3850.0</v>
      </c>
      <c r="I12" s="16" t="s">
        <v>132</v>
      </c>
      <c r="J12" s="57"/>
      <c r="K12" s="57"/>
      <c r="L12" s="62"/>
      <c r="M12" s="62"/>
    </row>
    <row r="13" ht="15.75" customHeight="1">
      <c r="A13" s="8">
        <v>10.0</v>
      </c>
      <c r="B13" s="85" t="s">
        <v>190</v>
      </c>
      <c r="C13" s="86">
        <v>6800.0</v>
      </c>
      <c r="D13" s="11"/>
      <c r="E13" s="87"/>
      <c r="F13" s="45"/>
      <c r="G13" s="53"/>
      <c r="H13" s="51"/>
      <c r="I13" s="16"/>
      <c r="J13" s="57"/>
      <c r="K13" s="57"/>
      <c r="L13" s="62"/>
      <c r="M13" s="62"/>
    </row>
    <row r="14" ht="15.75" customHeight="1">
      <c r="A14" s="8">
        <v>11.0</v>
      </c>
      <c r="B14" s="85" t="s">
        <v>217</v>
      </c>
      <c r="C14" s="86">
        <v>6800.0</v>
      </c>
      <c r="D14" s="8"/>
      <c r="E14" s="87"/>
      <c r="F14" s="45"/>
      <c r="G14" s="53"/>
      <c r="H14" s="51"/>
      <c r="I14" s="16"/>
      <c r="J14" s="57"/>
      <c r="K14" s="57"/>
      <c r="L14" s="62"/>
      <c r="M14" s="62"/>
    </row>
    <row r="15" ht="15.75" customHeight="1">
      <c r="A15" s="90">
        <v>12.0</v>
      </c>
      <c r="B15" s="85" t="s">
        <v>218</v>
      </c>
      <c r="C15" s="86">
        <v>6800.0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85" t="s">
        <v>219</v>
      </c>
      <c r="C16" s="86">
        <v>6800.0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85" t="s">
        <v>49</v>
      </c>
      <c r="C17" s="86">
        <v>6800.0</v>
      </c>
      <c r="D17" s="25"/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85" t="s">
        <v>220</v>
      </c>
      <c r="C18" s="86">
        <v>6800.0</v>
      </c>
      <c r="D18" s="11"/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85" t="s">
        <v>221</v>
      </c>
      <c r="C19" s="86">
        <v>6800.0</v>
      </c>
      <c r="D19" s="11"/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85" t="s">
        <v>222</v>
      </c>
      <c r="C20" s="86">
        <v>6800.0</v>
      </c>
      <c r="D20" s="8"/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85" t="s">
        <v>223</v>
      </c>
      <c r="C21" s="86">
        <v>6800.0</v>
      </c>
      <c r="D21" s="8"/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85" t="s">
        <v>224</v>
      </c>
      <c r="C22" s="86">
        <v>6800.0</v>
      </c>
      <c r="D22" s="8"/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85" t="s">
        <v>225</v>
      </c>
      <c r="C23" s="86">
        <v>6800.0</v>
      </c>
      <c r="D23" s="11"/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85" t="s">
        <v>226</v>
      </c>
      <c r="C24" s="86">
        <v>6800.0</v>
      </c>
      <c r="D24" s="11" t="s">
        <v>201</v>
      </c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85" t="s">
        <v>227</v>
      </c>
      <c r="C25" s="86">
        <v>6800.0</v>
      </c>
      <c r="D25" s="11" t="s">
        <v>201</v>
      </c>
      <c r="E25" s="87"/>
      <c r="F25" s="13"/>
      <c r="G25" s="63"/>
      <c r="H25" s="8"/>
      <c r="I25" s="7"/>
      <c r="L25" s="62"/>
      <c r="M25" s="62"/>
    </row>
    <row r="26" ht="15.75" customHeight="1">
      <c r="A26" s="92">
        <v>23.0</v>
      </c>
      <c r="B26" s="85" t="s">
        <v>228</v>
      </c>
      <c r="C26" s="86">
        <v>6800.0</v>
      </c>
      <c r="D26" s="11" t="s">
        <v>201</v>
      </c>
      <c r="E26" s="87"/>
      <c r="F26" s="13"/>
      <c r="G26" s="63"/>
      <c r="H26" s="8"/>
      <c r="I26" s="7"/>
      <c r="L26" s="62"/>
      <c r="M26" s="62"/>
    </row>
    <row r="27" ht="15.75" customHeight="1">
      <c r="A27" s="92">
        <v>24.0</v>
      </c>
      <c r="B27" s="85" t="s">
        <v>229</v>
      </c>
      <c r="C27" s="86">
        <v>6800.0</v>
      </c>
      <c r="D27" s="11" t="s">
        <v>201</v>
      </c>
      <c r="E27" s="87"/>
      <c r="F27" s="13"/>
      <c r="G27" s="63"/>
      <c r="H27" s="8"/>
      <c r="I27" s="7"/>
      <c r="L27" s="62"/>
      <c r="M27" s="62"/>
    </row>
    <row r="28" ht="15.75" customHeight="1">
      <c r="A28" s="92">
        <v>25.0</v>
      </c>
      <c r="B28" s="85" t="s">
        <v>151</v>
      </c>
      <c r="C28" s="86">
        <v>0.0</v>
      </c>
      <c r="D28" s="11"/>
      <c r="E28" s="87"/>
      <c r="F28" s="13"/>
      <c r="G28" s="63"/>
      <c r="H28" s="11"/>
      <c r="I28" s="7"/>
      <c r="L28" s="54"/>
      <c r="M28" s="54"/>
    </row>
    <row r="29" ht="15.75" customHeight="1">
      <c r="A29" s="92"/>
      <c r="B29" s="85"/>
      <c r="C29" s="86"/>
      <c r="D29" s="11"/>
      <c r="E29" s="87"/>
      <c r="F29" s="13"/>
      <c r="G29" s="63"/>
      <c r="H29" s="11"/>
      <c r="I29" s="7"/>
      <c r="L29" s="54"/>
      <c r="M29" s="54"/>
    </row>
    <row r="30" ht="15.75" customHeight="1">
      <c r="A30" s="92"/>
      <c r="B30" s="85"/>
      <c r="C30" s="86"/>
      <c r="D30" s="11"/>
      <c r="E30" s="87"/>
      <c r="F30" s="13"/>
      <c r="G30" s="63"/>
      <c r="H30" s="11"/>
      <c r="I30" s="7"/>
      <c r="L30" s="54"/>
      <c r="M30" s="54"/>
    </row>
    <row r="31" ht="15.75" customHeight="1">
      <c r="A31" s="92"/>
      <c r="B31" s="85"/>
      <c r="C31" s="86"/>
      <c r="D31" s="8"/>
      <c r="E31" s="87"/>
      <c r="F31" s="13"/>
      <c r="G31" s="63"/>
      <c r="H31" s="8"/>
      <c r="I31" s="7"/>
    </row>
    <row r="32" ht="15.75" customHeight="1"/>
    <row r="33" ht="15.75" customHeight="1">
      <c r="A33" s="5"/>
      <c r="B33" s="66" t="s">
        <v>119</v>
      </c>
      <c r="C33" s="66">
        <f>SUM(C4:C31)</f>
        <v>163200</v>
      </c>
      <c r="D33" s="5"/>
      <c r="E33" s="5"/>
      <c r="F33" s="5"/>
      <c r="G33" s="66" t="s">
        <v>119</v>
      </c>
      <c r="H33" s="66">
        <f>SUM(H4:H31)</f>
        <v>160550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/>
    <row r="35" ht="15.75" customHeight="1">
      <c r="G35" s="67" t="s">
        <v>157</v>
      </c>
      <c r="H35" s="2">
        <f>C33-H33</f>
        <v>2650</v>
      </c>
      <c r="O35" s="54"/>
    </row>
    <row r="36" ht="15.75" customHeight="1">
      <c r="G36" s="68" t="s">
        <v>230</v>
      </c>
      <c r="H36" s="2">
        <f>H4</f>
        <v>10000</v>
      </c>
    </row>
    <row r="37" ht="15.75" customHeight="1">
      <c r="G37" s="69" t="s">
        <v>231</v>
      </c>
      <c r="H37" s="2">
        <f>H35+H36</f>
        <v>12650</v>
      </c>
    </row>
    <row r="38" ht="15.75" customHeight="1">
      <c r="P38" s="82"/>
    </row>
    <row r="39" ht="15.75" customHeight="1">
      <c r="P39" s="82"/>
    </row>
    <row r="40" ht="15.75" customHeight="1">
      <c r="P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O46" s="5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3" width="12.63"/>
    <col customWidth="1" min="4" max="4" width="13.5"/>
    <col customWidth="1" min="5" max="5" width="3.38"/>
    <col customWidth="1" min="6" max="6" width="15.38"/>
    <col customWidth="1" min="7" max="7" width="27.63"/>
    <col customWidth="1" min="9" max="9" width="18.88"/>
    <col customWidth="1" min="11" max="11" width="17.13"/>
    <col customWidth="1" min="15" max="15" width="20.13"/>
  </cols>
  <sheetData>
    <row r="1" ht="15.75" customHeight="1">
      <c r="A1" s="33" t="s">
        <v>232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11</v>
      </c>
      <c r="C4" s="86">
        <v>3850.0</v>
      </c>
      <c r="D4" s="11"/>
      <c r="E4" s="87"/>
      <c r="F4" s="45">
        <v>45991.0</v>
      </c>
      <c r="G4" s="88" t="s">
        <v>175</v>
      </c>
      <c r="H4" s="47">
        <v>10000.0</v>
      </c>
      <c r="I4" s="16" t="s">
        <v>176</v>
      </c>
    </row>
    <row r="5" ht="15.75" customHeight="1">
      <c r="A5" s="8">
        <v>2.0</v>
      </c>
      <c r="B5" s="85" t="s">
        <v>36</v>
      </c>
      <c r="C5" s="86">
        <v>2800.0</v>
      </c>
      <c r="D5" s="7"/>
      <c r="E5" s="87"/>
      <c r="F5" s="45">
        <v>46011.0</v>
      </c>
      <c r="G5" s="16" t="s">
        <v>139</v>
      </c>
      <c r="H5" s="11">
        <v>2800.0</v>
      </c>
      <c r="I5" s="16" t="s">
        <v>234</v>
      </c>
    </row>
    <row r="6" ht="15.75" customHeight="1">
      <c r="A6" s="8">
        <v>3.0</v>
      </c>
      <c r="B6" s="85" t="s">
        <v>52</v>
      </c>
      <c r="C6" s="86">
        <v>2800.0</v>
      </c>
      <c r="D6" s="11"/>
      <c r="E6" s="87"/>
      <c r="F6" s="45">
        <v>46011.0</v>
      </c>
      <c r="G6" s="16" t="s">
        <v>235</v>
      </c>
      <c r="H6" s="11">
        <v>180.0</v>
      </c>
      <c r="I6" s="16" t="s">
        <v>234</v>
      </c>
      <c r="J6" s="49"/>
    </row>
    <row r="7" ht="15.75" customHeight="1">
      <c r="A7" s="8">
        <v>4.0</v>
      </c>
      <c r="B7" s="85" t="s">
        <v>236</v>
      </c>
      <c r="C7" s="86">
        <v>2800.0</v>
      </c>
      <c r="D7" s="8"/>
      <c r="E7" s="87"/>
      <c r="F7" s="45">
        <v>46011.0</v>
      </c>
      <c r="G7" s="48" t="s">
        <v>237</v>
      </c>
      <c r="H7" s="11">
        <v>40165.0</v>
      </c>
      <c r="I7" s="16" t="s">
        <v>234</v>
      </c>
      <c r="J7" s="52"/>
    </row>
    <row r="8" ht="15.75" customHeight="1">
      <c r="A8" s="8">
        <v>5.0</v>
      </c>
      <c r="B8" s="85" t="s">
        <v>203</v>
      </c>
      <c r="C8" s="86">
        <v>2800.0</v>
      </c>
      <c r="D8" s="8"/>
      <c r="E8" s="87"/>
      <c r="F8" s="45">
        <v>46011.0</v>
      </c>
      <c r="G8" s="53" t="s">
        <v>212</v>
      </c>
      <c r="H8" s="11">
        <v>2500.0</v>
      </c>
      <c r="I8" s="16" t="s">
        <v>234</v>
      </c>
      <c r="O8" s="54"/>
      <c r="P8" s="55"/>
    </row>
    <row r="9" ht="15.75" customHeight="1">
      <c r="A9" s="8">
        <v>6.0</v>
      </c>
      <c r="B9" s="85" t="s">
        <v>238</v>
      </c>
      <c r="C9" s="86">
        <v>2800.0</v>
      </c>
      <c r="D9" s="8"/>
      <c r="E9" s="87"/>
      <c r="F9" s="45">
        <v>46011.0</v>
      </c>
      <c r="G9" s="53" t="s">
        <v>239</v>
      </c>
      <c r="H9" s="51">
        <v>2300.0</v>
      </c>
      <c r="I9" s="16" t="s">
        <v>234</v>
      </c>
      <c r="K9" s="57"/>
      <c r="L9" s="62"/>
      <c r="M9" s="62"/>
    </row>
    <row r="10" ht="15.75" customHeight="1">
      <c r="A10" s="8">
        <v>7.0</v>
      </c>
      <c r="B10" s="85" t="s">
        <v>240</v>
      </c>
      <c r="C10" s="86">
        <v>2800.0</v>
      </c>
      <c r="D10" s="8"/>
      <c r="E10" s="87"/>
      <c r="F10" s="45"/>
      <c r="G10" s="53"/>
      <c r="H10" s="51"/>
      <c r="I10" s="16"/>
      <c r="J10" s="57"/>
      <c r="K10" s="57"/>
      <c r="L10" s="62"/>
      <c r="M10" s="62"/>
    </row>
    <row r="11" ht="15.75" customHeight="1">
      <c r="A11" s="8">
        <v>8.0</v>
      </c>
      <c r="B11" s="85" t="s">
        <v>241</v>
      </c>
      <c r="C11" s="86">
        <v>2800.0</v>
      </c>
      <c r="D11" s="8"/>
      <c r="E11" s="87"/>
      <c r="F11" s="45"/>
      <c r="G11" s="53"/>
      <c r="H11" s="51"/>
      <c r="I11" s="16"/>
      <c r="J11" s="57"/>
      <c r="K11" s="57"/>
      <c r="L11" s="62"/>
      <c r="M11" s="62"/>
    </row>
    <row r="12" ht="15.75" customHeight="1">
      <c r="A12" s="8">
        <v>9.0</v>
      </c>
      <c r="B12" s="85" t="s">
        <v>242</v>
      </c>
      <c r="C12" s="86">
        <v>2800.0</v>
      </c>
      <c r="D12" s="11"/>
      <c r="E12" s="87"/>
      <c r="F12" s="45"/>
      <c r="G12" s="53"/>
      <c r="H12" s="51"/>
      <c r="I12" s="16"/>
      <c r="L12" s="62"/>
      <c r="M12" s="62"/>
    </row>
    <row r="13" ht="15.75" customHeight="1">
      <c r="A13" s="8">
        <v>10.0</v>
      </c>
      <c r="B13" s="85" t="s">
        <v>220</v>
      </c>
      <c r="C13" s="86">
        <v>2800.0</v>
      </c>
      <c r="D13" s="11"/>
      <c r="E13" s="87"/>
      <c r="F13" s="45"/>
      <c r="G13" s="53"/>
      <c r="H13" s="51"/>
      <c r="I13" s="16"/>
      <c r="L13" s="62"/>
      <c r="M13" s="62"/>
    </row>
    <row r="14" ht="15.75" customHeight="1">
      <c r="A14" s="8">
        <v>11.0</v>
      </c>
      <c r="B14" s="85" t="s">
        <v>49</v>
      </c>
      <c r="C14" s="86">
        <v>3850.0</v>
      </c>
      <c r="D14" s="8"/>
      <c r="E14" s="87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85" t="s">
        <v>243</v>
      </c>
      <c r="C15" s="86">
        <v>2800.0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85" t="s">
        <v>244</v>
      </c>
      <c r="C16" s="86">
        <v>2800.0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85" t="s">
        <v>221</v>
      </c>
      <c r="C17" s="86">
        <v>3850.0</v>
      </c>
      <c r="D17" s="25"/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85" t="s">
        <v>245</v>
      </c>
      <c r="C18" s="86">
        <v>3850.0</v>
      </c>
      <c r="D18" s="11"/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85" t="s">
        <v>246</v>
      </c>
      <c r="C19" s="86">
        <v>2800.0</v>
      </c>
      <c r="D19" s="11"/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85" t="s">
        <v>247</v>
      </c>
      <c r="C20" s="86">
        <v>2800.0</v>
      </c>
      <c r="D20" s="8"/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85" t="s">
        <v>229</v>
      </c>
      <c r="C21" s="86">
        <v>2800.0</v>
      </c>
      <c r="D21" s="8"/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85" t="s">
        <v>248</v>
      </c>
      <c r="C22" s="86">
        <v>2800.0</v>
      </c>
      <c r="D22" s="8"/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85" t="s">
        <v>192</v>
      </c>
      <c r="C23" s="86">
        <v>2800.0</v>
      </c>
      <c r="D23" s="11" t="s">
        <v>201</v>
      </c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85" t="s">
        <v>151</v>
      </c>
      <c r="C24" s="86">
        <v>0.0</v>
      </c>
      <c r="D24" s="11"/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85"/>
      <c r="C25" s="86"/>
      <c r="D25" s="11"/>
      <c r="E25" s="87"/>
      <c r="F25" s="13"/>
      <c r="G25" s="63"/>
      <c r="H25" s="8"/>
      <c r="I25" s="7"/>
      <c r="L25" s="62"/>
      <c r="M25" s="62"/>
    </row>
    <row r="26" ht="15.75" customHeight="1">
      <c r="A26" s="92">
        <v>23.0</v>
      </c>
      <c r="B26" s="85"/>
      <c r="C26" s="86"/>
      <c r="D26" s="11"/>
      <c r="E26" s="87"/>
      <c r="F26" s="13"/>
      <c r="G26" s="63"/>
      <c r="H26" s="8"/>
      <c r="I26" s="7"/>
      <c r="L26" s="62"/>
      <c r="M26" s="62"/>
    </row>
    <row r="27" ht="15.75" customHeight="1">
      <c r="A27" s="92">
        <v>24.0</v>
      </c>
      <c r="B27" s="85"/>
      <c r="C27" s="86"/>
      <c r="D27" s="11"/>
      <c r="E27" s="87"/>
      <c r="F27" s="13"/>
      <c r="G27" s="63"/>
      <c r="H27" s="8"/>
      <c r="I27" s="7"/>
      <c r="L27" s="62"/>
      <c r="M27" s="62"/>
    </row>
    <row r="28" ht="15.75" customHeight="1">
      <c r="A28" s="92">
        <v>25.0</v>
      </c>
      <c r="B28" s="85"/>
      <c r="C28" s="86"/>
      <c r="D28" s="11"/>
      <c r="E28" s="87"/>
      <c r="F28" s="13"/>
      <c r="G28" s="63"/>
      <c r="H28" s="11"/>
      <c r="I28" s="7"/>
      <c r="L28" s="54"/>
      <c r="M28" s="54"/>
    </row>
    <row r="29" ht="15.75" customHeight="1">
      <c r="A29" s="92">
        <v>26.0</v>
      </c>
      <c r="B29" s="85"/>
      <c r="C29" s="86"/>
      <c r="D29" s="11"/>
      <c r="E29" s="87"/>
      <c r="F29" s="13"/>
      <c r="G29" s="63"/>
      <c r="H29" s="8"/>
      <c r="I29" s="7"/>
    </row>
    <row r="30" ht="15.75" customHeight="1">
      <c r="A30" s="92">
        <v>27.0</v>
      </c>
      <c r="B30" s="85"/>
      <c r="C30" s="86"/>
      <c r="D30" s="11"/>
      <c r="E30" s="87"/>
      <c r="F30" s="13"/>
      <c r="G30" s="63"/>
      <c r="H30" s="8"/>
      <c r="I30" s="7"/>
    </row>
    <row r="31" ht="15.75" customHeight="1">
      <c r="A31" s="92"/>
      <c r="B31" s="85"/>
      <c r="C31" s="86"/>
      <c r="D31" s="8"/>
      <c r="E31" s="87"/>
      <c r="F31" s="13"/>
      <c r="G31" s="63"/>
      <c r="H31" s="8"/>
      <c r="I31" s="7"/>
    </row>
    <row r="32" ht="15.75" customHeight="1"/>
    <row r="33" ht="15.75" customHeight="1">
      <c r="A33" s="5"/>
      <c r="B33" s="66" t="s">
        <v>119</v>
      </c>
      <c r="C33" s="66">
        <f>SUM(C4:C31)</f>
        <v>60200</v>
      </c>
      <c r="D33" s="5"/>
      <c r="E33" s="5"/>
      <c r="F33" s="5"/>
      <c r="G33" s="66" t="s">
        <v>119</v>
      </c>
      <c r="H33" s="66">
        <f>SUM(H4:H31)</f>
        <v>57945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/>
    <row r="35" ht="15.75" customHeight="1">
      <c r="G35" s="67" t="s">
        <v>157</v>
      </c>
      <c r="H35" s="2">
        <f>C33-H33</f>
        <v>2255</v>
      </c>
      <c r="O35" s="54"/>
    </row>
    <row r="36" ht="15.75" customHeight="1">
      <c r="G36" s="68" t="s">
        <v>206</v>
      </c>
      <c r="H36" s="2">
        <f>H4</f>
        <v>10000</v>
      </c>
    </row>
    <row r="37" ht="15.75" customHeight="1">
      <c r="G37" s="69" t="s">
        <v>249</v>
      </c>
      <c r="H37" s="2">
        <f>H35+H36</f>
        <v>12255</v>
      </c>
    </row>
    <row r="38" ht="15.75" customHeight="1">
      <c r="P38" s="82"/>
    </row>
    <row r="39" ht="15.75" customHeight="1">
      <c r="P39" s="82"/>
    </row>
    <row r="40" ht="15.75" customHeight="1">
      <c r="P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O46" s="5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3" width="12.63"/>
    <col customWidth="1" min="4" max="4" width="13.5"/>
    <col customWidth="1" min="5" max="5" width="3.38"/>
    <col customWidth="1" min="6" max="6" width="15.38"/>
    <col customWidth="1" min="7" max="7" width="27.63"/>
    <col customWidth="1" min="9" max="9" width="18.88"/>
    <col customWidth="1" min="11" max="11" width="17.13"/>
    <col customWidth="1" min="15" max="15" width="20.13"/>
  </cols>
  <sheetData>
    <row r="1" ht="15.75" customHeight="1">
      <c r="A1" s="33" t="s">
        <v>250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11</v>
      </c>
      <c r="C4" s="86">
        <v>4200.0</v>
      </c>
      <c r="D4" s="11"/>
      <c r="E4" s="87"/>
      <c r="F4" s="45">
        <v>45968.0</v>
      </c>
      <c r="G4" s="88" t="s">
        <v>175</v>
      </c>
      <c r="H4" s="47">
        <v>5800.0</v>
      </c>
      <c r="I4" s="16" t="s">
        <v>251</v>
      </c>
    </row>
    <row r="5" ht="15.75" customHeight="1">
      <c r="A5" s="8">
        <v>2.0</v>
      </c>
      <c r="B5" s="85" t="s">
        <v>36</v>
      </c>
      <c r="C5" s="86">
        <v>4200.0</v>
      </c>
      <c r="D5" s="7"/>
      <c r="E5" s="87"/>
      <c r="F5" s="45">
        <v>45981.0</v>
      </c>
      <c r="G5" s="16" t="s">
        <v>252</v>
      </c>
      <c r="H5" s="11">
        <v>20000.0</v>
      </c>
      <c r="I5" s="16" t="s">
        <v>134</v>
      </c>
    </row>
    <row r="6" ht="15.75" customHeight="1">
      <c r="A6" s="8">
        <v>3.0</v>
      </c>
      <c r="B6" s="85" t="s">
        <v>236</v>
      </c>
      <c r="C6" s="86">
        <v>4200.0</v>
      </c>
      <c r="D6" s="11"/>
      <c r="E6" s="87"/>
      <c r="F6" s="45">
        <v>45983.0</v>
      </c>
      <c r="G6" s="16" t="s">
        <v>139</v>
      </c>
      <c r="H6" s="11">
        <v>834.0</v>
      </c>
      <c r="I6" s="16" t="s">
        <v>134</v>
      </c>
      <c r="J6" s="49"/>
    </row>
    <row r="7" ht="15.75" customHeight="1">
      <c r="A7" s="8">
        <v>4.0</v>
      </c>
      <c r="B7" s="85" t="s">
        <v>253</v>
      </c>
      <c r="C7" s="86">
        <v>4200.0</v>
      </c>
      <c r="D7" s="8"/>
      <c r="E7" s="87"/>
      <c r="F7" s="45">
        <v>45984.0</v>
      </c>
      <c r="G7" s="48" t="s">
        <v>237</v>
      </c>
      <c r="H7" s="11">
        <v>17250.0</v>
      </c>
      <c r="I7" s="16" t="s">
        <v>134</v>
      </c>
      <c r="J7" s="52"/>
    </row>
    <row r="8" ht="15.75" customHeight="1">
      <c r="A8" s="8">
        <v>5.0</v>
      </c>
      <c r="B8" s="85" t="s">
        <v>254</v>
      </c>
      <c r="C8" s="86">
        <v>4200.0</v>
      </c>
      <c r="D8" s="8"/>
      <c r="E8" s="87"/>
      <c r="F8" s="45">
        <v>45984.0</v>
      </c>
      <c r="G8" s="48" t="s">
        <v>255</v>
      </c>
      <c r="H8" s="11">
        <v>5900.0</v>
      </c>
      <c r="I8" s="16" t="s">
        <v>134</v>
      </c>
      <c r="O8" s="54"/>
      <c r="P8" s="55"/>
    </row>
    <row r="9" ht="15.75" customHeight="1">
      <c r="A9" s="8">
        <v>6.0</v>
      </c>
      <c r="B9" s="85" t="s">
        <v>256</v>
      </c>
      <c r="C9" s="86">
        <v>4200.0</v>
      </c>
      <c r="D9" s="8"/>
      <c r="E9" s="87"/>
      <c r="F9" s="45">
        <v>45984.0</v>
      </c>
      <c r="G9" s="53" t="s">
        <v>212</v>
      </c>
      <c r="H9" s="51">
        <v>2500.0</v>
      </c>
      <c r="I9" s="16" t="s">
        <v>134</v>
      </c>
      <c r="K9" s="57"/>
      <c r="L9" s="62"/>
      <c r="M9" s="62"/>
    </row>
    <row r="10" ht="15.75" customHeight="1">
      <c r="A10" s="8">
        <v>7.0</v>
      </c>
      <c r="B10" s="85" t="s">
        <v>196</v>
      </c>
      <c r="C10" s="86">
        <v>4200.0</v>
      </c>
      <c r="D10" s="8"/>
      <c r="E10" s="87"/>
      <c r="F10" s="45">
        <v>45984.0</v>
      </c>
      <c r="G10" s="53" t="s">
        <v>257</v>
      </c>
      <c r="H10" s="51">
        <v>3700.0</v>
      </c>
      <c r="I10" s="16" t="s">
        <v>134</v>
      </c>
      <c r="J10" s="57"/>
      <c r="K10" s="57"/>
      <c r="L10" s="62"/>
      <c r="M10" s="62"/>
    </row>
    <row r="11" ht="15.75" customHeight="1">
      <c r="A11" s="8">
        <v>8.0</v>
      </c>
      <c r="B11" s="85" t="s">
        <v>197</v>
      </c>
      <c r="C11" s="86">
        <v>4200.0</v>
      </c>
      <c r="D11" s="8"/>
      <c r="E11" s="87"/>
      <c r="F11" s="45">
        <v>45984.0</v>
      </c>
      <c r="G11" s="53" t="s">
        <v>258</v>
      </c>
      <c r="H11" s="51">
        <v>3700.0</v>
      </c>
      <c r="I11" s="16" t="s">
        <v>134</v>
      </c>
      <c r="J11" s="57"/>
      <c r="K11" s="57"/>
      <c r="L11" s="62"/>
      <c r="M11" s="62"/>
    </row>
    <row r="12" ht="15.75" customHeight="1">
      <c r="A12" s="8">
        <v>9.0</v>
      </c>
      <c r="B12" s="85" t="s">
        <v>202</v>
      </c>
      <c r="C12" s="86">
        <v>4200.0</v>
      </c>
      <c r="D12" s="11"/>
      <c r="E12" s="87"/>
      <c r="F12" s="45"/>
      <c r="G12" s="53"/>
      <c r="H12" s="51"/>
      <c r="I12" s="16"/>
      <c r="L12" s="62"/>
      <c r="M12" s="62"/>
    </row>
    <row r="13" ht="15.75" customHeight="1">
      <c r="A13" s="8">
        <v>10.0</v>
      </c>
      <c r="B13" s="85" t="s">
        <v>49</v>
      </c>
      <c r="C13" s="86">
        <v>4200.0</v>
      </c>
      <c r="D13" s="11"/>
      <c r="E13" s="87"/>
      <c r="F13" s="45"/>
      <c r="G13" s="53"/>
      <c r="H13" s="51"/>
      <c r="I13" s="16"/>
      <c r="L13" s="62"/>
      <c r="M13" s="62"/>
    </row>
    <row r="14" ht="15.75" customHeight="1">
      <c r="A14" s="8">
        <v>11.0</v>
      </c>
      <c r="B14" s="85" t="s">
        <v>220</v>
      </c>
      <c r="C14" s="86">
        <v>4200.0</v>
      </c>
      <c r="D14" s="8"/>
      <c r="E14" s="87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85" t="s">
        <v>259</v>
      </c>
      <c r="C15" s="86">
        <v>4200.0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85" t="s">
        <v>260</v>
      </c>
      <c r="C16" s="86">
        <v>4200.0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85" t="s">
        <v>261</v>
      </c>
      <c r="C17" s="86">
        <v>0.0</v>
      </c>
      <c r="D17" s="25" t="s">
        <v>262</v>
      </c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85" t="s">
        <v>263</v>
      </c>
      <c r="C18" s="86">
        <v>4200.0</v>
      </c>
      <c r="D18" s="11" t="s">
        <v>201</v>
      </c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85" t="s">
        <v>264</v>
      </c>
      <c r="C19" s="86">
        <v>4200.0</v>
      </c>
      <c r="D19" s="11" t="s">
        <v>201</v>
      </c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85" t="s">
        <v>151</v>
      </c>
      <c r="C20" s="86">
        <v>0.0</v>
      </c>
      <c r="D20" s="8"/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85"/>
      <c r="C21" s="86"/>
      <c r="D21" s="8"/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85"/>
      <c r="C22" s="86"/>
      <c r="D22" s="8"/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85"/>
      <c r="C23" s="86"/>
      <c r="D23" s="8"/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85"/>
      <c r="C24" s="86"/>
      <c r="D24" s="11"/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85"/>
      <c r="C25" s="86"/>
      <c r="D25" s="11"/>
      <c r="E25" s="87"/>
      <c r="F25" s="13"/>
      <c r="G25" s="63"/>
      <c r="H25" s="8"/>
      <c r="I25" s="7"/>
      <c r="L25" s="62"/>
      <c r="M25" s="62"/>
    </row>
    <row r="26" ht="15.75" customHeight="1">
      <c r="A26" s="92">
        <v>23.0</v>
      </c>
      <c r="B26" s="85"/>
      <c r="C26" s="86"/>
      <c r="D26" s="11"/>
      <c r="E26" s="87"/>
      <c r="F26" s="13"/>
      <c r="G26" s="63"/>
      <c r="H26" s="8"/>
      <c r="I26" s="7"/>
      <c r="L26" s="62"/>
      <c r="M26" s="62"/>
    </row>
    <row r="27" ht="15.75" customHeight="1">
      <c r="A27" s="92">
        <v>24.0</v>
      </c>
      <c r="B27" s="85"/>
      <c r="C27" s="86"/>
      <c r="D27" s="11"/>
      <c r="E27" s="87"/>
      <c r="F27" s="13"/>
      <c r="G27" s="63"/>
      <c r="H27" s="8"/>
      <c r="I27" s="7"/>
      <c r="L27" s="62"/>
      <c r="M27" s="62"/>
    </row>
    <row r="28" ht="15.75" customHeight="1">
      <c r="A28" s="92">
        <v>25.0</v>
      </c>
      <c r="B28" s="85"/>
      <c r="C28" s="86"/>
      <c r="D28" s="11"/>
      <c r="E28" s="87"/>
      <c r="F28" s="13"/>
      <c r="G28" s="63"/>
      <c r="H28" s="11"/>
      <c r="I28" s="7"/>
      <c r="L28" s="54"/>
      <c r="M28" s="54"/>
    </row>
    <row r="29" ht="15.75" customHeight="1">
      <c r="A29" s="92">
        <v>26.0</v>
      </c>
      <c r="B29" s="85"/>
      <c r="C29" s="86"/>
      <c r="D29" s="11"/>
      <c r="E29" s="87"/>
      <c r="F29" s="13"/>
      <c r="G29" s="63"/>
      <c r="H29" s="8"/>
      <c r="I29" s="7"/>
    </row>
    <row r="30" ht="15.75" customHeight="1">
      <c r="A30" s="92">
        <v>27.0</v>
      </c>
      <c r="B30" s="85"/>
      <c r="C30" s="86"/>
      <c r="D30" s="11"/>
      <c r="E30" s="87"/>
      <c r="F30" s="13"/>
      <c r="G30" s="63"/>
      <c r="H30" s="8"/>
      <c r="I30" s="7"/>
    </row>
    <row r="31" ht="15.75" customHeight="1">
      <c r="A31" s="92"/>
      <c r="B31" s="85"/>
      <c r="C31" s="86"/>
      <c r="D31" s="8"/>
      <c r="E31" s="87"/>
      <c r="F31" s="13"/>
      <c r="G31" s="63"/>
      <c r="H31" s="8"/>
      <c r="I31" s="7"/>
    </row>
    <row r="32" ht="15.75" customHeight="1"/>
    <row r="33" ht="15.75" customHeight="1">
      <c r="A33" s="5"/>
      <c r="B33" s="66" t="s">
        <v>119</v>
      </c>
      <c r="C33" s="66">
        <f>SUM(C4:C31)</f>
        <v>63000</v>
      </c>
      <c r="D33" s="5"/>
      <c r="E33" s="5"/>
      <c r="F33" s="5"/>
      <c r="G33" s="66" t="s">
        <v>119</v>
      </c>
      <c r="H33" s="66">
        <f>SUM(H4:H31)</f>
        <v>59684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/>
    <row r="35" ht="15.75" customHeight="1">
      <c r="G35" s="67" t="s">
        <v>157</v>
      </c>
      <c r="H35" s="2">
        <f>C33-H33</f>
        <v>3316</v>
      </c>
      <c r="O35" s="54"/>
    </row>
    <row r="36" ht="15.75" customHeight="1">
      <c r="G36" s="68" t="s">
        <v>265</v>
      </c>
      <c r="H36" s="2">
        <f>H4</f>
        <v>5800</v>
      </c>
    </row>
    <row r="37" ht="15.75" customHeight="1">
      <c r="G37" s="69" t="s">
        <v>159</v>
      </c>
      <c r="H37" s="2">
        <f>H35+H36</f>
        <v>9116</v>
      </c>
    </row>
    <row r="38" ht="15.75" customHeight="1">
      <c r="P38" s="82"/>
    </row>
    <row r="39" ht="15.75" customHeight="1">
      <c r="P39" s="82"/>
    </row>
    <row r="40" ht="15.75" customHeight="1">
      <c r="P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O46" s="5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3" width="12.63"/>
    <col customWidth="1" min="4" max="4" width="13.5"/>
    <col customWidth="1" min="5" max="5" width="3.38"/>
    <col customWidth="1" min="6" max="6" width="14.0"/>
    <col customWidth="1" min="7" max="7" width="27.63"/>
    <col customWidth="1" min="9" max="9" width="18.88"/>
    <col customWidth="1" min="11" max="11" width="17.13"/>
    <col customWidth="1" min="15" max="15" width="20.13"/>
  </cols>
  <sheetData>
    <row r="1" ht="15.75" customHeight="1">
      <c r="A1" s="33" t="s">
        <v>266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11</v>
      </c>
      <c r="C4" s="86">
        <v>2300.0</v>
      </c>
      <c r="D4" s="11"/>
      <c r="E4" s="87"/>
      <c r="F4" s="45">
        <v>45931.0</v>
      </c>
      <c r="G4" s="88" t="s">
        <v>175</v>
      </c>
      <c r="H4" s="47">
        <v>5000.0</v>
      </c>
      <c r="I4" s="16" t="s">
        <v>267</v>
      </c>
    </row>
    <row r="5" ht="15.75" customHeight="1">
      <c r="A5" s="8">
        <v>2.0</v>
      </c>
      <c r="B5" s="85" t="s">
        <v>89</v>
      </c>
      <c r="C5" s="86">
        <v>2300.0</v>
      </c>
      <c r="D5" s="7"/>
      <c r="E5" s="87"/>
      <c r="F5" s="45">
        <v>45931.0</v>
      </c>
      <c r="G5" s="16" t="s">
        <v>268</v>
      </c>
      <c r="H5" s="11">
        <v>2700.0</v>
      </c>
      <c r="I5" s="16" t="s">
        <v>251</v>
      </c>
    </row>
    <row r="6" ht="15.75" customHeight="1">
      <c r="A6" s="8">
        <v>3.0</v>
      </c>
      <c r="B6" s="85" t="s">
        <v>52</v>
      </c>
      <c r="C6" s="86">
        <v>2300.0</v>
      </c>
      <c r="D6" s="11"/>
      <c r="E6" s="87"/>
      <c r="F6" s="45">
        <v>45955.0</v>
      </c>
      <c r="G6" s="16" t="s">
        <v>139</v>
      </c>
      <c r="H6" s="11">
        <v>4616.0</v>
      </c>
      <c r="I6" s="16" t="s">
        <v>251</v>
      </c>
      <c r="J6" s="49"/>
    </row>
    <row r="7" ht="15.75" customHeight="1">
      <c r="A7" s="8">
        <v>4.0</v>
      </c>
      <c r="B7" s="85" t="s">
        <v>269</v>
      </c>
      <c r="C7" s="86">
        <v>2300.0</v>
      </c>
      <c r="D7" s="8"/>
      <c r="E7" s="87"/>
      <c r="F7" s="45">
        <v>45955.0</v>
      </c>
      <c r="G7" s="48" t="s">
        <v>237</v>
      </c>
      <c r="H7" s="11">
        <v>15000.0</v>
      </c>
      <c r="I7" s="16" t="s">
        <v>251</v>
      </c>
      <c r="J7" s="52"/>
    </row>
    <row r="8" ht="15.75" customHeight="1">
      <c r="A8" s="8">
        <v>5.0</v>
      </c>
      <c r="B8" s="85" t="s">
        <v>208</v>
      </c>
      <c r="C8" s="86">
        <v>2300.0</v>
      </c>
      <c r="D8" s="8"/>
      <c r="E8" s="87"/>
      <c r="F8" s="45">
        <v>45955.0</v>
      </c>
      <c r="G8" s="48" t="s">
        <v>255</v>
      </c>
      <c r="H8" s="11">
        <v>8130.0</v>
      </c>
      <c r="I8" s="16" t="s">
        <v>251</v>
      </c>
      <c r="O8" s="54"/>
      <c r="P8" s="55"/>
    </row>
    <row r="9" ht="15.75" customHeight="1">
      <c r="A9" s="8">
        <v>6.0</v>
      </c>
      <c r="B9" s="85" t="s">
        <v>193</v>
      </c>
      <c r="C9" s="86">
        <v>2300.0</v>
      </c>
      <c r="D9" s="8"/>
      <c r="E9" s="87"/>
      <c r="F9" s="45">
        <v>45955.0</v>
      </c>
      <c r="G9" s="53" t="s">
        <v>212</v>
      </c>
      <c r="H9" s="51">
        <v>2850.0</v>
      </c>
      <c r="I9" s="16" t="s">
        <v>251</v>
      </c>
      <c r="J9" s="64" t="s">
        <v>270</v>
      </c>
      <c r="K9" s="57"/>
      <c r="L9" s="62"/>
      <c r="M9" s="62"/>
    </row>
    <row r="10" ht="15.75" customHeight="1">
      <c r="A10" s="8">
        <v>7.0</v>
      </c>
      <c r="B10" s="85" t="s">
        <v>49</v>
      </c>
      <c r="C10" s="86">
        <v>2300.0</v>
      </c>
      <c r="D10" s="8"/>
      <c r="E10" s="87"/>
      <c r="F10" s="45">
        <v>45955.0</v>
      </c>
      <c r="G10" s="53" t="s">
        <v>271</v>
      </c>
      <c r="H10" s="51">
        <v>1800.0</v>
      </c>
      <c r="I10" s="16" t="s">
        <v>251</v>
      </c>
      <c r="J10" s="57"/>
      <c r="K10" s="57"/>
      <c r="L10" s="62"/>
      <c r="M10" s="62"/>
    </row>
    <row r="11" ht="15.75" customHeight="1">
      <c r="A11" s="8">
        <v>8.0</v>
      </c>
      <c r="B11" s="85" t="s">
        <v>240</v>
      </c>
      <c r="C11" s="86">
        <v>2300.0</v>
      </c>
      <c r="D11" s="8"/>
      <c r="E11" s="87"/>
      <c r="F11" s="45">
        <v>45955.0</v>
      </c>
      <c r="G11" s="53" t="s">
        <v>272</v>
      </c>
      <c r="H11" s="51">
        <v>1800.0</v>
      </c>
      <c r="I11" s="16" t="s">
        <v>251</v>
      </c>
      <c r="J11" s="57"/>
      <c r="K11" s="57"/>
      <c r="L11" s="62"/>
      <c r="M11" s="62"/>
    </row>
    <row r="12" ht="15.75" customHeight="1">
      <c r="A12" s="8">
        <v>9.0</v>
      </c>
      <c r="B12" s="85" t="s">
        <v>192</v>
      </c>
      <c r="C12" s="86">
        <v>2300.0</v>
      </c>
      <c r="D12" s="11"/>
      <c r="E12" s="87"/>
      <c r="F12" s="45">
        <v>45955.0</v>
      </c>
      <c r="G12" s="53" t="s">
        <v>273</v>
      </c>
      <c r="H12" s="51">
        <v>1800.0</v>
      </c>
      <c r="I12" s="16" t="s">
        <v>251</v>
      </c>
      <c r="L12" s="62"/>
      <c r="M12" s="62"/>
    </row>
    <row r="13" ht="15.75" customHeight="1">
      <c r="A13" s="8">
        <v>10.0</v>
      </c>
      <c r="B13" s="85" t="s">
        <v>274</v>
      </c>
      <c r="C13" s="86">
        <v>2300.0</v>
      </c>
      <c r="D13" s="11"/>
      <c r="E13" s="87"/>
      <c r="F13" s="45">
        <v>45955.0</v>
      </c>
      <c r="G13" s="53" t="s">
        <v>275</v>
      </c>
      <c r="H13" s="51">
        <v>1800.0</v>
      </c>
      <c r="I13" s="16" t="s">
        <v>251</v>
      </c>
      <c r="L13" s="62"/>
      <c r="M13" s="62"/>
    </row>
    <row r="14" ht="15.75" customHeight="1">
      <c r="A14" s="8">
        <v>11.0</v>
      </c>
      <c r="B14" s="85" t="s">
        <v>276</v>
      </c>
      <c r="C14" s="86">
        <v>2300.0</v>
      </c>
      <c r="D14" s="8"/>
      <c r="E14" s="87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85" t="s">
        <v>229</v>
      </c>
      <c r="C15" s="86">
        <v>2300.0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85" t="s">
        <v>191</v>
      </c>
      <c r="C16" s="86">
        <v>2300.0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85" t="s">
        <v>277</v>
      </c>
      <c r="C17" s="86">
        <v>2300.0</v>
      </c>
      <c r="D17" s="8"/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85" t="s">
        <v>186</v>
      </c>
      <c r="C18" s="86">
        <v>2300.0</v>
      </c>
      <c r="D18" s="11"/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85" t="s">
        <v>278</v>
      </c>
      <c r="C19" s="86">
        <v>2300.0</v>
      </c>
      <c r="D19" s="11"/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85" t="s">
        <v>279</v>
      </c>
      <c r="C20" s="86">
        <v>2300.0</v>
      </c>
      <c r="D20" s="8"/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85" t="s">
        <v>15</v>
      </c>
      <c r="C21" s="86">
        <v>2300.0</v>
      </c>
      <c r="D21" s="8"/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85" t="s">
        <v>280</v>
      </c>
      <c r="C22" s="86">
        <v>2300.0</v>
      </c>
      <c r="D22" s="8"/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85" t="s">
        <v>281</v>
      </c>
      <c r="C23" s="86">
        <v>2300.0</v>
      </c>
      <c r="D23" s="8"/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85" t="s">
        <v>282</v>
      </c>
      <c r="C24" s="86">
        <v>2300.0</v>
      </c>
      <c r="D24" s="11"/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85" t="s">
        <v>283</v>
      </c>
      <c r="C25" s="86">
        <v>2300.0</v>
      </c>
      <c r="D25" s="11" t="s">
        <v>201</v>
      </c>
      <c r="E25" s="87"/>
      <c r="F25" s="13"/>
      <c r="G25" s="63"/>
      <c r="H25" s="8"/>
      <c r="I25" s="7"/>
      <c r="L25" s="62"/>
      <c r="M25" s="62"/>
    </row>
    <row r="26" ht="15.75" customHeight="1">
      <c r="A26" s="92">
        <v>23.0</v>
      </c>
      <c r="B26" s="85" t="s">
        <v>196</v>
      </c>
      <c r="C26" s="86">
        <v>2300.0</v>
      </c>
      <c r="D26" s="11" t="s">
        <v>201</v>
      </c>
      <c r="E26" s="87"/>
      <c r="F26" s="13"/>
      <c r="G26" s="63"/>
      <c r="H26" s="8"/>
      <c r="I26" s="7"/>
      <c r="L26" s="62"/>
      <c r="M26" s="62"/>
    </row>
    <row r="27" ht="15.75" customHeight="1">
      <c r="A27" s="92">
        <v>24.0</v>
      </c>
      <c r="B27" s="85" t="s">
        <v>217</v>
      </c>
      <c r="C27" s="86">
        <v>2300.0</v>
      </c>
      <c r="D27" s="11" t="s">
        <v>201</v>
      </c>
      <c r="E27" s="87"/>
      <c r="F27" s="13"/>
      <c r="G27" s="63"/>
      <c r="H27" s="8"/>
      <c r="I27" s="7"/>
      <c r="L27" s="62"/>
      <c r="M27" s="62"/>
    </row>
    <row r="28" ht="15.75" customHeight="1">
      <c r="A28" s="92">
        <v>25.0</v>
      </c>
      <c r="B28" s="85" t="s">
        <v>284</v>
      </c>
      <c r="C28" s="86">
        <v>2300.0</v>
      </c>
      <c r="D28" s="11" t="s">
        <v>201</v>
      </c>
      <c r="E28" s="87"/>
      <c r="F28" s="13"/>
      <c r="G28" s="63"/>
      <c r="H28" s="11"/>
      <c r="I28" s="7"/>
      <c r="L28" s="54"/>
      <c r="M28" s="54"/>
    </row>
    <row r="29" ht="15.75" customHeight="1">
      <c r="A29" s="92">
        <v>26.0</v>
      </c>
      <c r="B29" s="85" t="s">
        <v>151</v>
      </c>
      <c r="C29" s="86">
        <v>0.0</v>
      </c>
      <c r="D29" s="11"/>
      <c r="E29" s="87"/>
      <c r="F29" s="13"/>
      <c r="G29" s="63"/>
      <c r="H29" s="8"/>
      <c r="I29" s="7"/>
    </row>
    <row r="30" ht="15.75" customHeight="1">
      <c r="A30" s="92">
        <v>27.0</v>
      </c>
      <c r="B30" s="85"/>
      <c r="C30" s="86"/>
      <c r="D30" s="11"/>
      <c r="E30" s="87"/>
      <c r="F30" s="13"/>
      <c r="G30" s="63"/>
      <c r="H30" s="8"/>
      <c r="I30" s="7"/>
    </row>
    <row r="31" ht="15.75" customHeight="1">
      <c r="A31" s="92"/>
      <c r="B31" s="85"/>
      <c r="C31" s="86"/>
      <c r="D31" s="8"/>
      <c r="E31" s="87"/>
      <c r="F31" s="13"/>
      <c r="G31" s="63"/>
      <c r="H31" s="8"/>
      <c r="I31" s="7"/>
    </row>
    <row r="32" ht="15.75" customHeight="1"/>
    <row r="33" ht="15.75" customHeight="1">
      <c r="A33" s="5"/>
      <c r="B33" s="66" t="s">
        <v>119</v>
      </c>
      <c r="C33" s="66">
        <f>SUM(C4:C31)</f>
        <v>57500</v>
      </c>
      <c r="D33" s="5"/>
      <c r="E33" s="5"/>
      <c r="F33" s="5"/>
      <c r="G33" s="66" t="s">
        <v>119</v>
      </c>
      <c r="H33" s="66">
        <f>SUM(H4:H31)</f>
        <v>45496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/>
    <row r="35" ht="15.75" customHeight="1">
      <c r="G35" s="67" t="s">
        <v>157</v>
      </c>
      <c r="H35" s="2">
        <f>C33-H33</f>
        <v>12004</v>
      </c>
      <c r="O35" s="54"/>
    </row>
    <row r="36" ht="15.75" customHeight="1">
      <c r="G36" s="68" t="s">
        <v>285</v>
      </c>
      <c r="H36" s="2">
        <f>H4</f>
        <v>5000</v>
      </c>
    </row>
    <row r="37" ht="15.75" customHeight="1">
      <c r="G37" s="69" t="s">
        <v>286</v>
      </c>
      <c r="H37" s="2">
        <f>H35+H36</f>
        <v>17004</v>
      </c>
    </row>
    <row r="38" ht="15.75" customHeight="1">
      <c r="P38" s="82"/>
    </row>
    <row r="39" ht="15.75" customHeight="1">
      <c r="P39" s="82"/>
    </row>
    <row r="40" ht="15.75" customHeight="1">
      <c r="P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O46" s="5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3" width="12.63"/>
    <col customWidth="1" min="4" max="4" width="13.5"/>
    <col customWidth="1" min="5" max="5" width="3.38"/>
    <col customWidth="1" min="6" max="6" width="14.0"/>
    <col customWidth="1" min="7" max="7" width="27.63"/>
    <col customWidth="1" min="9" max="9" width="17.63"/>
    <col customWidth="1" min="11" max="11" width="17.13"/>
    <col customWidth="1" min="15" max="15" width="20.13"/>
  </cols>
  <sheetData>
    <row r="1" ht="15.75" customHeight="1">
      <c r="A1" s="33" t="s">
        <v>287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288</v>
      </c>
      <c r="C4" s="86">
        <v>2500.0</v>
      </c>
      <c r="D4" s="11"/>
      <c r="E4" s="87"/>
      <c r="F4" s="45">
        <v>45842.0</v>
      </c>
      <c r="G4" s="88" t="s">
        <v>175</v>
      </c>
      <c r="H4" s="47">
        <v>1000.0</v>
      </c>
      <c r="I4" s="16" t="s">
        <v>134</v>
      </c>
    </row>
    <row r="5" ht="15.75" customHeight="1">
      <c r="A5" s="8">
        <v>2.0</v>
      </c>
      <c r="B5" s="85" t="s">
        <v>36</v>
      </c>
      <c r="C5" s="86">
        <v>2500.0</v>
      </c>
      <c r="D5" s="7"/>
      <c r="E5" s="87"/>
      <c r="F5" s="93">
        <v>45921.0</v>
      </c>
      <c r="G5" s="7" t="s">
        <v>289</v>
      </c>
      <c r="H5" s="11">
        <v>33000.0</v>
      </c>
      <c r="I5" s="16" t="s">
        <v>134</v>
      </c>
    </row>
    <row r="6" ht="15.75" customHeight="1">
      <c r="A6" s="8">
        <v>3.0</v>
      </c>
      <c r="B6" s="85" t="s">
        <v>290</v>
      </c>
      <c r="C6" s="86">
        <v>2500.0</v>
      </c>
      <c r="D6" s="11"/>
      <c r="E6" s="87"/>
      <c r="F6" s="93">
        <v>45920.0</v>
      </c>
      <c r="G6" s="48" t="s">
        <v>139</v>
      </c>
      <c r="H6" s="11">
        <v>1435.0</v>
      </c>
      <c r="I6" s="16" t="s">
        <v>134</v>
      </c>
      <c r="J6" s="49"/>
    </row>
    <row r="7" ht="15.75" customHeight="1">
      <c r="A7" s="8">
        <v>4.0</v>
      </c>
      <c r="B7" s="85" t="s">
        <v>291</v>
      </c>
      <c r="C7" s="86">
        <v>2500.0</v>
      </c>
      <c r="D7" s="8"/>
      <c r="E7" s="87"/>
      <c r="F7" s="93">
        <v>45921.0</v>
      </c>
      <c r="G7" s="48" t="s">
        <v>212</v>
      </c>
      <c r="H7" s="11">
        <v>2500.0</v>
      </c>
      <c r="I7" s="16" t="s">
        <v>134</v>
      </c>
      <c r="J7" s="52"/>
    </row>
    <row r="8" ht="15.75" customHeight="1">
      <c r="A8" s="8">
        <v>5.0</v>
      </c>
      <c r="B8" s="85" t="s">
        <v>292</v>
      </c>
      <c r="C8" s="86">
        <v>2500.0</v>
      </c>
      <c r="D8" s="8"/>
      <c r="E8" s="87"/>
      <c r="F8" s="93">
        <v>45924.0</v>
      </c>
      <c r="G8" s="53" t="s">
        <v>293</v>
      </c>
      <c r="H8" s="51">
        <v>2000.0</v>
      </c>
      <c r="I8" s="16" t="s">
        <v>134</v>
      </c>
      <c r="O8" s="54"/>
      <c r="P8" s="55"/>
    </row>
    <row r="9" ht="15.75" customHeight="1">
      <c r="A9" s="8">
        <v>6.0</v>
      </c>
      <c r="B9" s="85" t="s">
        <v>49</v>
      </c>
      <c r="C9" s="86">
        <v>2500.0</v>
      </c>
      <c r="D9" s="8"/>
      <c r="E9" s="87"/>
      <c r="F9" s="93">
        <v>45924.0</v>
      </c>
      <c r="G9" s="53" t="s">
        <v>294</v>
      </c>
      <c r="H9" s="51">
        <v>2000.0</v>
      </c>
      <c r="I9" s="16" t="s">
        <v>134</v>
      </c>
      <c r="J9" s="52"/>
      <c r="L9" s="62"/>
      <c r="M9" s="62"/>
    </row>
    <row r="10" ht="15.75" customHeight="1">
      <c r="A10" s="8">
        <v>7.0</v>
      </c>
      <c r="B10" s="85" t="s">
        <v>295</v>
      </c>
      <c r="C10" s="86">
        <v>2500.0</v>
      </c>
      <c r="D10" s="8"/>
      <c r="E10" s="87"/>
      <c r="F10" s="93">
        <v>45924.0</v>
      </c>
      <c r="G10" s="53" t="s">
        <v>296</v>
      </c>
      <c r="H10" s="51">
        <v>2000.0</v>
      </c>
      <c r="I10" s="16" t="s">
        <v>134</v>
      </c>
      <c r="J10" s="57"/>
      <c r="L10" s="62"/>
      <c r="M10" s="62"/>
    </row>
    <row r="11" ht="15.75" customHeight="1">
      <c r="A11" s="8">
        <v>8.0</v>
      </c>
      <c r="B11" s="85" t="s">
        <v>224</v>
      </c>
      <c r="C11" s="86">
        <v>2500.0</v>
      </c>
      <c r="D11" s="8"/>
      <c r="E11" s="87"/>
      <c r="F11" s="93">
        <v>45924.0</v>
      </c>
      <c r="G11" s="53" t="s">
        <v>297</v>
      </c>
      <c r="H11" s="51">
        <v>2000.0</v>
      </c>
      <c r="I11" s="16" t="s">
        <v>134</v>
      </c>
      <c r="J11" s="57"/>
      <c r="L11" s="62"/>
      <c r="M11" s="62"/>
    </row>
    <row r="12" ht="15.75" customHeight="1">
      <c r="A12" s="8">
        <v>9.0</v>
      </c>
      <c r="B12" s="85" t="s">
        <v>194</v>
      </c>
      <c r="C12" s="86">
        <v>2500.0</v>
      </c>
      <c r="D12" s="11"/>
      <c r="E12" s="87"/>
      <c r="F12" s="93">
        <v>45924.0</v>
      </c>
      <c r="G12" s="53" t="s">
        <v>298</v>
      </c>
      <c r="H12" s="51">
        <v>2000.0</v>
      </c>
      <c r="I12" s="16" t="s">
        <v>134</v>
      </c>
      <c r="L12" s="62"/>
      <c r="M12" s="62"/>
    </row>
    <row r="13" ht="15.75" customHeight="1">
      <c r="A13" s="8">
        <v>10.0</v>
      </c>
      <c r="B13" s="85" t="s">
        <v>217</v>
      </c>
      <c r="C13" s="86">
        <v>2500.0</v>
      </c>
      <c r="D13" s="11"/>
      <c r="E13" s="87"/>
      <c r="F13" s="93">
        <v>45924.0</v>
      </c>
      <c r="G13" s="53" t="s">
        <v>299</v>
      </c>
      <c r="H13" s="51">
        <v>2000.0</v>
      </c>
      <c r="I13" s="16" t="s">
        <v>134</v>
      </c>
      <c r="L13" s="62"/>
      <c r="M13" s="62"/>
    </row>
    <row r="14" ht="15.75" customHeight="1">
      <c r="A14" s="8">
        <v>11.0</v>
      </c>
      <c r="B14" s="85" t="s">
        <v>300</v>
      </c>
      <c r="C14" s="86">
        <v>2500.0</v>
      </c>
      <c r="D14" s="8"/>
      <c r="E14" s="87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85" t="s">
        <v>179</v>
      </c>
      <c r="C15" s="86">
        <v>2500.0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85" t="s">
        <v>301</v>
      </c>
      <c r="C16" s="86">
        <v>2500.0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85" t="s">
        <v>302</v>
      </c>
      <c r="C17" s="86">
        <v>2500.0</v>
      </c>
      <c r="D17" s="8"/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85" t="s">
        <v>303</v>
      </c>
      <c r="C18" s="86">
        <v>2500.0</v>
      </c>
      <c r="D18" s="11"/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85" t="s">
        <v>304</v>
      </c>
      <c r="C19" s="86">
        <v>2500.0</v>
      </c>
      <c r="D19" s="11"/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85" t="s">
        <v>305</v>
      </c>
      <c r="C20" s="86">
        <v>2500.0</v>
      </c>
      <c r="D20" s="8"/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85" t="s">
        <v>240</v>
      </c>
      <c r="C21" s="86">
        <v>2500.0</v>
      </c>
      <c r="D21" s="11" t="s">
        <v>201</v>
      </c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85" t="s">
        <v>306</v>
      </c>
      <c r="C22" s="86">
        <v>2500.0</v>
      </c>
      <c r="D22" s="11" t="s">
        <v>201</v>
      </c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85" t="s">
        <v>227</v>
      </c>
      <c r="C23" s="86">
        <v>2500.0</v>
      </c>
      <c r="D23" s="11" t="s">
        <v>201</v>
      </c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85" t="s">
        <v>261</v>
      </c>
      <c r="C24" s="86">
        <v>2500.0</v>
      </c>
      <c r="D24" s="11" t="s">
        <v>201</v>
      </c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85" t="s">
        <v>307</v>
      </c>
      <c r="C25" s="86">
        <v>2500.0</v>
      </c>
      <c r="D25" s="11" t="s">
        <v>201</v>
      </c>
      <c r="E25" s="87"/>
      <c r="F25" s="13"/>
      <c r="G25" s="63"/>
      <c r="H25" s="8"/>
      <c r="I25" s="7"/>
      <c r="L25" s="62"/>
      <c r="M25" s="62"/>
    </row>
    <row r="26" ht="15.75" customHeight="1">
      <c r="A26" s="92">
        <v>23.0</v>
      </c>
      <c r="B26" s="85" t="s">
        <v>308</v>
      </c>
      <c r="C26" s="86">
        <v>2500.0</v>
      </c>
      <c r="D26" s="11" t="s">
        <v>201</v>
      </c>
      <c r="E26" s="87"/>
      <c r="F26" s="13"/>
      <c r="G26" s="63"/>
      <c r="H26" s="8"/>
      <c r="I26" s="7"/>
      <c r="L26" s="62"/>
      <c r="M26" s="62"/>
    </row>
    <row r="27" ht="15.75" customHeight="1">
      <c r="A27" s="92">
        <v>24.0</v>
      </c>
      <c r="B27" s="85" t="s">
        <v>151</v>
      </c>
      <c r="C27" s="86">
        <v>0.0</v>
      </c>
      <c r="D27" s="11"/>
      <c r="E27" s="87"/>
      <c r="F27" s="13"/>
      <c r="G27" s="63"/>
      <c r="H27" s="8"/>
      <c r="I27" s="7"/>
      <c r="L27" s="62"/>
      <c r="M27" s="62"/>
    </row>
    <row r="28" ht="15.75" customHeight="1">
      <c r="A28" s="92">
        <v>25.0</v>
      </c>
      <c r="B28" s="85"/>
      <c r="C28" s="86"/>
      <c r="D28" s="11"/>
      <c r="E28" s="87"/>
      <c r="F28" s="13"/>
      <c r="G28" s="63"/>
      <c r="H28" s="11"/>
      <c r="I28" s="7"/>
      <c r="L28" s="54"/>
      <c r="M28" s="54"/>
    </row>
    <row r="29" ht="15.75" customHeight="1">
      <c r="A29" s="92">
        <v>26.0</v>
      </c>
      <c r="B29" s="85"/>
      <c r="C29" s="86"/>
      <c r="D29" s="11"/>
      <c r="E29" s="87"/>
      <c r="F29" s="13"/>
      <c r="G29" s="63"/>
      <c r="H29" s="8"/>
      <c r="I29" s="7"/>
    </row>
    <row r="30" ht="15.75" customHeight="1">
      <c r="A30" s="92">
        <v>27.0</v>
      </c>
      <c r="B30" s="85"/>
      <c r="C30" s="86"/>
      <c r="D30" s="11"/>
      <c r="E30" s="87"/>
      <c r="F30" s="13"/>
      <c r="G30" s="63"/>
      <c r="H30" s="8"/>
      <c r="I30" s="7"/>
    </row>
    <row r="31" ht="15.75" customHeight="1">
      <c r="A31" s="92"/>
      <c r="B31" s="85"/>
      <c r="C31" s="86"/>
      <c r="D31" s="8"/>
      <c r="E31" s="87"/>
      <c r="F31" s="13"/>
      <c r="G31" s="63"/>
      <c r="H31" s="8"/>
      <c r="I31" s="7"/>
    </row>
    <row r="32" ht="15.75" customHeight="1"/>
    <row r="33" ht="15.75" customHeight="1">
      <c r="A33" s="5"/>
      <c r="B33" s="66" t="s">
        <v>119</v>
      </c>
      <c r="C33" s="66">
        <f>SUM(C4:C31)</f>
        <v>57500</v>
      </c>
      <c r="D33" s="5"/>
      <c r="E33" s="5"/>
      <c r="F33" s="5"/>
      <c r="G33" s="66" t="s">
        <v>119</v>
      </c>
      <c r="H33" s="66">
        <f>SUM(H4:H31)</f>
        <v>49935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/>
    <row r="35" ht="15.75" customHeight="1">
      <c r="G35" s="67" t="s">
        <v>157</v>
      </c>
      <c r="H35" s="2">
        <f>C33-H33</f>
        <v>7565</v>
      </c>
      <c r="O35" s="54"/>
    </row>
    <row r="36" ht="15.75" customHeight="1">
      <c r="G36" s="68" t="s">
        <v>230</v>
      </c>
      <c r="H36" s="2">
        <f>H4</f>
        <v>1000</v>
      </c>
    </row>
    <row r="37" ht="15.75" customHeight="1">
      <c r="G37" s="69" t="s">
        <v>159</v>
      </c>
      <c r="H37" s="2">
        <f>H35+H36</f>
        <v>8565</v>
      </c>
    </row>
    <row r="38" ht="15.75" customHeight="1">
      <c r="P38" s="82"/>
    </row>
    <row r="39" ht="15.75" customHeight="1">
      <c r="P39" s="82"/>
    </row>
    <row r="40" ht="15.75" customHeight="1">
      <c r="P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O46" s="5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3" width="12.63"/>
    <col customWidth="1" min="4" max="4" width="13.5"/>
    <col customWidth="1" min="5" max="5" width="3.38"/>
    <col customWidth="1" min="6" max="6" width="14.0"/>
    <col customWidth="1" min="7" max="7" width="27.63"/>
    <col customWidth="1" min="9" max="9" width="17.63"/>
    <col customWidth="1" min="11" max="11" width="17.13"/>
    <col customWidth="1" min="15" max="15" width="20.13"/>
  </cols>
  <sheetData>
    <row r="1" ht="15.75" customHeight="1">
      <c r="A1" s="33" t="s">
        <v>309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288</v>
      </c>
      <c r="C4" s="86">
        <v>4650.0</v>
      </c>
      <c r="D4" s="11" t="s">
        <v>310</v>
      </c>
      <c r="E4" s="87"/>
      <c r="F4" s="45">
        <v>45874.0</v>
      </c>
      <c r="G4" s="88" t="s">
        <v>175</v>
      </c>
      <c r="H4" s="47">
        <v>5000.0</v>
      </c>
      <c r="I4" s="16" t="s">
        <v>251</v>
      </c>
    </row>
    <row r="5" ht="15.75" customHeight="1">
      <c r="A5" s="8">
        <v>2.0</v>
      </c>
      <c r="B5" s="85" t="s">
        <v>200</v>
      </c>
      <c r="C5" s="86">
        <v>4050.0</v>
      </c>
      <c r="D5" s="7"/>
      <c r="E5" s="87"/>
      <c r="F5" s="45">
        <v>45886.0</v>
      </c>
      <c r="G5" s="7" t="s">
        <v>289</v>
      </c>
      <c r="H5" s="11">
        <v>70000.0</v>
      </c>
      <c r="I5" s="16" t="s">
        <v>176</v>
      </c>
    </row>
    <row r="6" ht="15.75" customHeight="1">
      <c r="A6" s="8">
        <v>3.0</v>
      </c>
      <c r="B6" s="85" t="s">
        <v>49</v>
      </c>
      <c r="C6" s="86">
        <v>4650.0</v>
      </c>
      <c r="D6" s="11" t="s">
        <v>310</v>
      </c>
      <c r="E6" s="87"/>
      <c r="F6" s="45">
        <v>45886.0</v>
      </c>
      <c r="G6" s="48" t="s">
        <v>156</v>
      </c>
      <c r="H6" s="11">
        <v>1950.0</v>
      </c>
      <c r="I6" s="16" t="s">
        <v>176</v>
      </c>
      <c r="J6" s="49"/>
    </row>
    <row r="7" ht="15.75" customHeight="1">
      <c r="A7" s="8">
        <v>4.0</v>
      </c>
      <c r="B7" s="85" t="s">
        <v>36</v>
      </c>
      <c r="C7" s="86">
        <v>4050.0</v>
      </c>
      <c r="D7" s="8"/>
      <c r="E7" s="87"/>
      <c r="F7" s="45">
        <v>45884.0</v>
      </c>
      <c r="G7" s="48" t="s">
        <v>311</v>
      </c>
      <c r="H7" s="11">
        <v>3590.0</v>
      </c>
      <c r="I7" s="16" t="s">
        <v>176</v>
      </c>
      <c r="J7" s="52"/>
    </row>
    <row r="8" ht="15.75" customHeight="1">
      <c r="A8" s="8">
        <v>5.0</v>
      </c>
      <c r="B8" s="85" t="s">
        <v>269</v>
      </c>
      <c r="C8" s="86">
        <v>4050.0</v>
      </c>
      <c r="D8" s="8"/>
      <c r="E8" s="87"/>
      <c r="F8" s="45">
        <v>45886.0</v>
      </c>
      <c r="G8" s="53" t="s">
        <v>312</v>
      </c>
      <c r="H8" s="51">
        <v>1808.0</v>
      </c>
      <c r="I8" s="16" t="s">
        <v>176</v>
      </c>
      <c r="O8" s="54"/>
      <c r="P8" s="55"/>
    </row>
    <row r="9" ht="15.75" customHeight="1">
      <c r="A9" s="8">
        <v>6.0</v>
      </c>
      <c r="B9" s="85" t="s">
        <v>89</v>
      </c>
      <c r="C9" s="86">
        <v>4050.0</v>
      </c>
      <c r="D9" s="8"/>
      <c r="E9" s="87"/>
      <c r="F9" s="45">
        <v>45888.0</v>
      </c>
      <c r="G9" s="53" t="s">
        <v>313</v>
      </c>
      <c r="H9" s="51">
        <v>5000.0</v>
      </c>
      <c r="I9" s="16" t="s">
        <v>176</v>
      </c>
      <c r="J9" s="52"/>
      <c r="L9" s="62"/>
      <c r="M9" s="62"/>
    </row>
    <row r="10" ht="15.75" customHeight="1">
      <c r="A10" s="8">
        <v>7.0</v>
      </c>
      <c r="B10" s="85" t="s">
        <v>229</v>
      </c>
      <c r="C10" s="86">
        <v>4050.0</v>
      </c>
      <c r="D10" s="8"/>
      <c r="E10" s="87"/>
      <c r="F10" s="45">
        <v>45888.0</v>
      </c>
      <c r="G10" s="53" t="s">
        <v>314</v>
      </c>
      <c r="H10" s="51">
        <v>3550.0</v>
      </c>
      <c r="I10" s="16" t="s">
        <v>176</v>
      </c>
      <c r="J10" s="57"/>
      <c r="L10" s="62"/>
      <c r="M10" s="62"/>
    </row>
    <row r="11" ht="15.75" customHeight="1">
      <c r="A11" s="8">
        <v>8.0</v>
      </c>
      <c r="B11" s="85" t="s">
        <v>203</v>
      </c>
      <c r="C11" s="86">
        <v>4050.0</v>
      </c>
      <c r="D11" s="8"/>
      <c r="E11" s="87"/>
      <c r="F11" s="45">
        <v>45888.0</v>
      </c>
      <c r="G11" s="53" t="s">
        <v>315</v>
      </c>
      <c r="H11" s="51">
        <v>3550.0</v>
      </c>
      <c r="I11" s="16" t="s">
        <v>176</v>
      </c>
      <c r="J11" s="57"/>
      <c r="L11" s="62"/>
      <c r="M11" s="62"/>
    </row>
    <row r="12" ht="15.75" customHeight="1">
      <c r="A12" s="8">
        <v>9.0</v>
      </c>
      <c r="B12" s="85" t="s">
        <v>316</v>
      </c>
      <c r="C12" s="86">
        <v>4650.0</v>
      </c>
      <c r="D12" s="11" t="s">
        <v>310</v>
      </c>
      <c r="E12" s="87"/>
      <c r="F12" s="45">
        <v>45888.0</v>
      </c>
      <c r="G12" s="53" t="s">
        <v>317</v>
      </c>
      <c r="H12" s="51">
        <v>3550.0</v>
      </c>
      <c r="I12" s="16" t="s">
        <v>176</v>
      </c>
      <c r="L12" s="62"/>
      <c r="M12" s="62"/>
    </row>
    <row r="13" ht="15.75" customHeight="1">
      <c r="A13" s="8">
        <v>10.0</v>
      </c>
      <c r="B13" s="85" t="s">
        <v>318</v>
      </c>
      <c r="C13" s="86">
        <v>4650.0</v>
      </c>
      <c r="D13" s="11" t="s">
        <v>310</v>
      </c>
      <c r="E13" s="87"/>
      <c r="F13" s="45"/>
      <c r="G13" s="53"/>
      <c r="H13" s="51"/>
      <c r="I13" s="16"/>
      <c r="L13" s="62"/>
      <c r="M13" s="62"/>
    </row>
    <row r="14" ht="15.75" customHeight="1">
      <c r="A14" s="8">
        <v>11.0</v>
      </c>
      <c r="B14" s="85" t="s">
        <v>208</v>
      </c>
      <c r="C14" s="86">
        <v>4050.0</v>
      </c>
      <c r="D14" s="8"/>
      <c r="E14" s="87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85" t="s">
        <v>319</v>
      </c>
      <c r="C15" s="86">
        <v>4050.0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85" t="s">
        <v>320</v>
      </c>
      <c r="C16" s="86">
        <v>4050.0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85" t="s">
        <v>295</v>
      </c>
      <c r="C17" s="86">
        <v>4050.0</v>
      </c>
      <c r="D17" s="8"/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85" t="s">
        <v>321</v>
      </c>
      <c r="C18" s="86">
        <v>4650.0</v>
      </c>
      <c r="D18" s="11" t="s">
        <v>310</v>
      </c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85" t="s">
        <v>322</v>
      </c>
      <c r="C19" s="86">
        <v>4650.0</v>
      </c>
      <c r="D19" s="11" t="s">
        <v>310</v>
      </c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85" t="s">
        <v>323</v>
      </c>
      <c r="C20" s="86">
        <v>4050.0</v>
      </c>
      <c r="D20" s="8"/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85" t="s">
        <v>324</v>
      </c>
      <c r="C21" s="86">
        <v>4050.0</v>
      </c>
      <c r="D21" s="8"/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85" t="s">
        <v>325</v>
      </c>
      <c r="C22" s="86">
        <v>4050.0</v>
      </c>
      <c r="D22" s="8"/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85" t="s">
        <v>193</v>
      </c>
      <c r="C23" s="86">
        <v>4050.0</v>
      </c>
      <c r="D23" s="8"/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85" t="s">
        <v>244</v>
      </c>
      <c r="C24" s="86">
        <v>4050.0</v>
      </c>
      <c r="D24" s="11"/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85" t="s">
        <v>326</v>
      </c>
      <c r="C25" s="86">
        <v>4050.0</v>
      </c>
      <c r="D25" s="11"/>
      <c r="E25" s="87"/>
      <c r="F25" s="13"/>
      <c r="G25" s="63"/>
      <c r="H25" s="8"/>
      <c r="I25" s="7"/>
      <c r="L25" s="62"/>
      <c r="M25" s="62"/>
    </row>
    <row r="26" ht="15.75" customHeight="1">
      <c r="A26" s="92">
        <v>23.0</v>
      </c>
      <c r="B26" s="85" t="s">
        <v>327</v>
      </c>
      <c r="C26" s="86">
        <v>4050.0</v>
      </c>
      <c r="D26" s="11"/>
      <c r="E26" s="87"/>
      <c r="F26" s="13"/>
      <c r="G26" s="63"/>
      <c r="H26" s="8"/>
      <c r="I26" s="7"/>
      <c r="L26" s="62"/>
      <c r="M26" s="62"/>
    </row>
    <row r="27" ht="15.75" customHeight="1">
      <c r="A27" s="92">
        <v>24.0</v>
      </c>
      <c r="B27" s="85" t="s">
        <v>328</v>
      </c>
      <c r="C27" s="86">
        <v>4050.0</v>
      </c>
      <c r="D27" s="11" t="s">
        <v>201</v>
      </c>
      <c r="E27" s="87"/>
      <c r="F27" s="13"/>
      <c r="G27" s="63"/>
      <c r="H27" s="8"/>
      <c r="I27" s="7"/>
      <c r="L27" s="62"/>
      <c r="M27" s="62"/>
    </row>
    <row r="28" ht="15.75" customHeight="1">
      <c r="A28" s="92">
        <v>25.0</v>
      </c>
      <c r="B28" s="85" t="s">
        <v>329</v>
      </c>
      <c r="C28" s="86">
        <v>4050.0</v>
      </c>
      <c r="D28" s="11" t="s">
        <v>201</v>
      </c>
      <c r="E28" s="87"/>
      <c r="F28" s="13"/>
      <c r="G28" s="63"/>
      <c r="H28" s="11"/>
      <c r="I28" s="7"/>
      <c r="L28" s="54"/>
      <c r="M28" s="54"/>
    </row>
    <row r="29" ht="15.75" customHeight="1">
      <c r="A29" s="92">
        <v>26.0</v>
      </c>
      <c r="B29" s="85" t="s">
        <v>281</v>
      </c>
      <c r="C29" s="86">
        <v>4050.0</v>
      </c>
      <c r="D29" s="11" t="s">
        <v>201</v>
      </c>
      <c r="E29" s="87"/>
      <c r="F29" s="13"/>
      <c r="G29" s="63"/>
      <c r="H29" s="8"/>
      <c r="I29" s="7"/>
    </row>
    <row r="30" ht="15.75" customHeight="1">
      <c r="A30" s="92">
        <v>27.0</v>
      </c>
      <c r="B30" s="85" t="s">
        <v>151</v>
      </c>
      <c r="C30" s="86">
        <v>0.0</v>
      </c>
      <c r="D30" s="11"/>
      <c r="E30" s="87"/>
      <c r="F30" s="13"/>
      <c r="G30" s="63"/>
      <c r="H30" s="8"/>
      <c r="I30" s="7"/>
    </row>
    <row r="31" ht="15.75" customHeight="1">
      <c r="A31" s="92"/>
      <c r="B31" s="85"/>
      <c r="C31" s="86"/>
      <c r="D31" s="8"/>
      <c r="E31" s="87"/>
      <c r="F31" s="13"/>
      <c r="G31" s="63"/>
      <c r="H31" s="8"/>
      <c r="I31" s="7"/>
    </row>
    <row r="32" ht="15.75" customHeight="1"/>
    <row r="33" ht="15.75" customHeight="1">
      <c r="A33" s="5"/>
      <c r="B33" s="66" t="s">
        <v>119</v>
      </c>
      <c r="C33" s="66">
        <f>SUM(C4:C31)</f>
        <v>108900</v>
      </c>
      <c r="D33" s="5"/>
      <c r="E33" s="5"/>
      <c r="F33" s="5"/>
      <c r="G33" s="66" t="s">
        <v>119</v>
      </c>
      <c r="H33" s="66">
        <f>SUM(H4:H31)</f>
        <v>97998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/>
    <row r="35" ht="15.75" customHeight="1">
      <c r="G35" s="67" t="s">
        <v>157</v>
      </c>
      <c r="H35" s="2">
        <f>C33-H33</f>
        <v>10902</v>
      </c>
      <c r="O35" s="54"/>
    </row>
    <row r="36" ht="15.75" customHeight="1">
      <c r="G36" s="68" t="s">
        <v>265</v>
      </c>
      <c r="H36" s="2">
        <f>H4</f>
        <v>5000</v>
      </c>
    </row>
    <row r="37" ht="15.75" customHeight="1">
      <c r="G37" s="69" t="s">
        <v>330</v>
      </c>
      <c r="H37" s="2">
        <f>H35+H36</f>
        <v>15902</v>
      </c>
    </row>
    <row r="38" ht="15.75" customHeight="1">
      <c r="P38" s="82"/>
    </row>
    <row r="39" ht="15.75" customHeight="1">
      <c r="P39" s="82"/>
    </row>
    <row r="40" ht="15.75" customHeight="1">
      <c r="P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O46" s="5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4" width="12.63"/>
    <col customWidth="1" min="5" max="5" width="3.38"/>
    <col customWidth="1" min="6" max="6" width="14.0"/>
    <col customWidth="1" min="7" max="7" width="27.63"/>
    <col customWidth="1" min="9" max="9" width="17.63"/>
    <col customWidth="1" min="11" max="11" width="17.13"/>
    <col customWidth="1" min="15" max="15" width="20.13"/>
  </cols>
  <sheetData>
    <row r="1" ht="15.75" customHeight="1">
      <c r="A1" s="33" t="s">
        <v>331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11</v>
      </c>
      <c r="C4" s="86">
        <v>3100.0</v>
      </c>
      <c r="D4" s="8"/>
      <c r="E4" s="87"/>
      <c r="F4" s="45">
        <v>45842.0</v>
      </c>
      <c r="G4" s="88" t="s">
        <v>175</v>
      </c>
      <c r="H4" s="47">
        <v>5000.0</v>
      </c>
      <c r="I4" s="16" t="s">
        <v>134</v>
      </c>
    </row>
    <row r="5" ht="15.75" customHeight="1">
      <c r="A5" s="8">
        <v>2.0</v>
      </c>
      <c r="B5" s="85" t="s">
        <v>49</v>
      </c>
      <c r="C5" s="86">
        <v>3100.0</v>
      </c>
      <c r="D5" s="7"/>
      <c r="E5" s="87"/>
      <c r="F5" s="45">
        <v>45858.0</v>
      </c>
      <c r="G5" s="7" t="s">
        <v>289</v>
      </c>
      <c r="H5" s="11">
        <v>78350.0</v>
      </c>
      <c r="I5" s="16" t="s">
        <v>332</v>
      </c>
    </row>
    <row r="6" ht="15.75" customHeight="1">
      <c r="A6" s="8">
        <v>3.0</v>
      </c>
      <c r="B6" s="85" t="s">
        <v>203</v>
      </c>
      <c r="C6" s="86">
        <v>3100.0</v>
      </c>
      <c r="D6" s="8"/>
      <c r="E6" s="87"/>
      <c r="F6" s="45">
        <v>45858.0</v>
      </c>
      <c r="G6" s="48" t="s">
        <v>139</v>
      </c>
      <c r="H6" s="11">
        <v>1680.0</v>
      </c>
      <c r="I6" s="16" t="s">
        <v>332</v>
      </c>
      <c r="J6" s="49"/>
    </row>
    <row r="7" ht="15.75" customHeight="1">
      <c r="A7" s="8">
        <v>4.0</v>
      </c>
      <c r="B7" s="85" t="s">
        <v>240</v>
      </c>
      <c r="C7" s="86">
        <v>3100.0</v>
      </c>
      <c r="D7" s="8"/>
      <c r="E7" s="87"/>
      <c r="F7" s="45">
        <v>45858.0</v>
      </c>
      <c r="G7" s="53" t="s">
        <v>313</v>
      </c>
      <c r="H7" s="51">
        <v>2500.0</v>
      </c>
      <c r="I7" s="16" t="s">
        <v>332</v>
      </c>
      <c r="J7" s="52"/>
    </row>
    <row r="8" ht="15.75" customHeight="1">
      <c r="A8" s="8">
        <v>5.0</v>
      </c>
      <c r="B8" s="85" t="s">
        <v>188</v>
      </c>
      <c r="C8" s="86">
        <v>3100.0</v>
      </c>
      <c r="D8" s="8"/>
      <c r="E8" s="87"/>
      <c r="F8" s="45">
        <v>45858.0</v>
      </c>
      <c r="G8" s="53" t="s">
        <v>333</v>
      </c>
      <c r="H8" s="51">
        <v>2600.0</v>
      </c>
      <c r="I8" s="16" t="s">
        <v>332</v>
      </c>
      <c r="O8" s="54"/>
      <c r="P8" s="55"/>
    </row>
    <row r="9" ht="15.75" customHeight="1">
      <c r="A9" s="8">
        <v>6.0</v>
      </c>
      <c r="B9" s="85" t="s">
        <v>274</v>
      </c>
      <c r="C9" s="86">
        <v>3100.0</v>
      </c>
      <c r="D9" s="8"/>
      <c r="E9" s="87"/>
      <c r="F9" s="45"/>
      <c r="G9" s="53"/>
      <c r="H9" s="51"/>
      <c r="I9" s="16"/>
      <c r="J9" s="52"/>
      <c r="L9" s="62"/>
      <c r="M9" s="62"/>
    </row>
    <row r="10" ht="15.75" customHeight="1">
      <c r="A10" s="8">
        <v>7.0</v>
      </c>
      <c r="B10" s="85" t="s">
        <v>334</v>
      </c>
      <c r="C10" s="86">
        <v>3100.0</v>
      </c>
      <c r="D10" s="8"/>
      <c r="E10" s="87"/>
      <c r="F10" s="45"/>
      <c r="G10" s="53"/>
      <c r="H10" s="51"/>
      <c r="I10" s="16"/>
      <c r="J10" s="57"/>
      <c r="L10" s="62"/>
      <c r="M10" s="62"/>
    </row>
    <row r="11" ht="15.75" customHeight="1">
      <c r="A11" s="8">
        <v>8.0</v>
      </c>
      <c r="B11" s="85" t="s">
        <v>208</v>
      </c>
      <c r="C11" s="86">
        <v>3100.0</v>
      </c>
      <c r="D11" s="8"/>
      <c r="E11" s="87"/>
      <c r="F11" s="45"/>
      <c r="G11" s="53"/>
      <c r="H11" s="51"/>
      <c r="I11" s="16"/>
      <c r="J11" s="57"/>
      <c r="L11" s="62"/>
      <c r="M11" s="62"/>
    </row>
    <row r="12" ht="15.75" customHeight="1">
      <c r="A12" s="8">
        <v>9.0</v>
      </c>
      <c r="B12" s="85" t="s">
        <v>52</v>
      </c>
      <c r="C12" s="86">
        <v>3100.0</v>
      </c>
      <c r="D12" s="8"/>
      <c r="E12" s="87"/>
      <c r="F12" s="45"/>
      <c r="G12" s="53"/>
      <c r="H12" s="51"/>
      <c r="I12" s="16"/>
      <c r="L12" s="62"/>
      <c r="M12" s="62"/>
    </row>
    <row r="13" ht="15.75" customHeight="1">
      <c r="A13" s="8">
        <v>10.0</v>
      </c>
      <c r="B13" s="85" t="s">
        <v>278</v>
      </c>
      <c r="C13" s="86">
        <v>3100.0</v>
      </c>
      <c r="D13" s="8"/>
      <c r="E13" s="87"/>
      <c r="F13" s="45"/>
      <c r="G13" s="53"/>
      <c r="H13" s="51"/>
      <c r="I13" s="16"/>
      <c r="L13" s="62"/>
      <c r="M13" s="62"/>
    </row>
    <row r="14" ht="15.75" customHeight="1">
      <c r="A14" s="8">
        <v>11.0</v>
      </c>
      <c r="B14" s="85" t="s">
        <v>335</v>
      </c>
      <c r="C14" s="86">
        <v>3100.0</v>
      </c>
      <c r="D14" s="8"/>
      <c r="E14" s="87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85" t="s">
        <v>15</v>
      </c>
      <c r="C15" s="86">
        <v>3100.0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85" t="s">
        <v>198</v>
      </c>
      <c r="C16" s="86">
        <v>3100.0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85" t="s">
        <v>192</v>
      </c>
      <c r="C17" s="86">
        <v>3100.0</v>
      </c>
      <c r="D17" s="8"/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85" t="s">
        <v>307</v>
      </c>
      <c r="C18" s="86">
        <v>3100.0</v>
      </c>
      <c r="D18" s="8"/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85" t="s">
        <v>36</v>
      </c>
      <c r="C19" s="86">
        <v>3100.0</v>
      </c>
      <c r="D19" s="8"/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85" t="s">
        <v>336</v>
      </c>
      <c r="C20" s="86">
        <v>3100.0</v>
      </c>
      <c r="D20" s="8"/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85" t="s">
        <v>221</v>
      </c>
      <c r="C21" s="86">
        <v>3100.0</v>
      </c>
      <c r="D21" s="8"/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85" t="s">
        <v>337</v>
      </c>
      <c r="C22" s="86">
        <v>3100.0</v>
      </c>
      <c r="D22" s="8"/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85" t="s">
        <v>191</v>
      </c>
      <c r="C23" s="86">
        <v>3100.0</v>
      </c>
      <c r="D23" s="8"/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85" t="s">
        <v>338</v>
      </c>
      <c r="C24" s="86">
        <v>3100.0</v>
      </c>
      <c r="D24" s="11"/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85" t="s">
        <v>269</v>
      </c>
      <c r="C25" s="86">
        <v>3100.0</v>
      </c>
      <c r="D25" s="11"/>
      <c r="E25" s="87"/>
      <c r="F25" s="13"/>
      <c r="G25" s="63"/>
      <c r="H25" s="8"/>
      <c r="I25" s="7"/>
      <c r="L25" s="62"/>
      <c r="M25" s="62"/>
    </row>
    <row r="26" ht="15.75" customHeight="1">
      <c r="A26" s="92">
        <v>23.0</v>
      </c>
      <c r="B26" s="85" t="s">
        <v>308</v>
      </c>
      <c r="C26" s="86">
        <v>3100.0</v>
      </c>
      <c r="D26" s="11"/>
      <c r="E26" s="87"/>
      <c r="F26" s="13"/>
      <c r="G26" s="63"/>
      <c r="H26" s="8"/>
      <c r="I26" s="7"/>
      <c r="L26" s="62"/>
      <c r="M26" s="62"/>
    </row>
    <row r="27" ht="15.75" customHeight="1">
      <c r="A27" s="92">
        <v>24.0</v>
      </c>
      <c r="B27" s="85" t="s">
        <v>193</v>
      </c>
      <c r="C27" s="86">
        <v>3100.0</v>
      </c>
      <c r="D27" s="11"/>
      <c r="E27" s="87"/>
      <c r="F27" s="13"/>
      <c r="G27" s="63"/>
      <c r="H27" s="8"/>
      <c r="I27" s="7"/>
      <c r="L27" s="62"/>
      <c r="M27" s="62"/>
    </row>
    <row r="28" ht="15.75" customHeight="1">
      <c r="A28" s="92">
        <v>25.0</v>
      </c>
      <c r="B28" s="85" t="s">
        <v>339</v>
      </c>
      <c r="C28" s="86">
        <v>3100.0</v>
      </c>
      <c r="D28" s="11"/>
      <c r="E28" s="87"/>
      <c r="F28" s="13"/>
      <c r="G28" s="63"/>
      <c r="H28" s="11"/>
      <c r="I28" s="7"/>
      <c r="L28" s="54"/>
      <c r="M28" s="54"/>
    </row>
    <row r="29" ht="15.75" customHeight="1">
      <c r="A29" s="92">
        <v>26.0</v>
      </c>
      <c r="B29" s="85" t="s">
        <v>196</v>
      </c>
      <c r="C29" s="86">
        <v>3100.0</v>
      </c>
      <c r="D29" s="11"/>
      <c r="E29" s="87"/>
      <c r="F29" s="13"/>
      <c r="G29" s="63"/>
      <c r="H29" s="8"/>
      <c r="I29" s="7"/>
    </row>
    <row r="30" ht="15.75" customHeight="1">
      <c r="A30" s="92">
        <v>27.0</v>
      </c>
      <c r="B30" s="85" t="s">
        <v>282</v>
      </c>
      <c r="C30" s="86">
        <v>3100.0</v>
      </c>
      <c r="D30" s="11"/>
      <c r="E30" s="87"/>
      <c r="F30" s="13"/>
      <c r="G30" s="63"/>
      <c r="H30" s="8"/>
      <c r="I30" s="7"/>
    </row>
    <row r="31" ht="15.75" customHeight="1">
      <c r="A31" s="92">
        <v>28.0</v>
      </c>
      <c r="B31" s="94" t="s">
        <v>340</v>
      </c>
      <c r="C31" s="86">
        <v>3100.0</v>
      </c>
      <c r="D31" s="11"/>
      <c r="E31" s="87"/>
      <c r="F31" s="13"/>
      <c r="G31" s="63"/>
      <c r="H31" s="8"/>
      <c r="I31" s="7"/>
    </row>
    <row r="32" ht="15.75" customHeight="1">
      <c r="A32" s="92">
        <v>29.0</v>
      </c>
      <c r="B32" s="94" t="s">
        <v>264</v>
      </c>
      <c r="C32" s="86">
        <v>3100.0</v>
      </c>
      <c r="D32" s="11"/>
      <c r="E32" s="87"/>
      <c r="F32" s="13"/>
      <c r="G32" s="63"/>
      <c r="H32" s="8"/>
      <c r="I32" s="7"/>
      <c r="O32" s="54"/>
      <c r="P32" s="55"/>
    </row>
    <row r="33" ht="15.75" customHeight="1">
      <c r="A33" s="92">
        <v>30.0</v>
      </c>
      <c r="B33" s="94" t="s">
        <v>341</v>
      </c>
      <c r="C33" s="86">
        <v>3100.0</v>
      </c>
      <c r="D33" s="11"/>
      <c r="E33" s="87"/>
      <c r="F33" s="13"/>
      <c r="G33" s="63"/>
      <c r="H33" s="8"/>
      <c r="I33" s="7"/>
      <c r="O33" s="54"/>
      <c r="P33" s="55"/>
    </row>
    <row r="34" ht="15.75" customHeight="1">
      <c r="A34" s="92">
        <v>31.0</v>
      </c>
      <c r="B34" s="85" t="s">
        <v>229</v>
      </c>
      <c r="C34" s="86">
        <v>3100.0</v>
      </c>
      <c r="D34" s="11"/>
      <c r="E34" s="87"/>
      <c r="F34" s="13"/>
      <c r="G34" s="63"/>
      <c r="H34" s="8"/>
      <c r="I34" s="7"/>
      <c r="O34" s="54"/>
      <c r="P34" s="55"/>
    </row>
    <row r="35" ht="15.75" customHeight="1">
      <c r="A35" s="92">
        <v>32.0</v>
      </c>
      <c r="B35" s="85" t="s">
        <v>223</v>
      </c>
      <c r="C35" s="86">
        <v>3100.0</v>
      </c>
      <c r="D35" s="11"/>
      <c r="E35" s="87"/>
      <c r="F35" s="13"/>
      <c r="G35" s="63"/>
      <c r="H35" s="8"/>
      <c r="I35" s="7"/>
      <c r="O35" s="54"/>
      <c r="P35" s="55"/>
    </row>
    <row r="36" ht="15.75" customHeight="1">
      <c r="A36" s="92">
        <v>33.0</v>
      </c>
      <c r="B36" s="85" t="s">
        <v>342</v>
      </c>
      <c r="C36" s="86">
        <v>3100.0</v>
      </c>
      <c r="D36" s="11" t="s">
        <v>201</v>
      </c>
      <c r="E36" s="87"/>
      <c r="F36" s="13"/>
      <c r="G36" s="63"/>
      <c r="H36" s="8"/>
      <c r="I36" s="7"/>
      <c r="O36" s="54"/>
      <c r="P36" s="55"/>
    </row>
    <row r="37" ht="15.75" customHeight="1">
      <c r="A37" s="92">
        <v>34.0</v>
      </c>
      <c r="B37" s="85" t="s">
        <v>151</v>
      </c>
      <c r="C37" s="86">
        <v>0.0</v>
      </c>
      <c r="D37" s="11"/>
      <c r="E37" s="87"/>
      <c r="F37" s="13"/>
      <c r="G37" s="63"/>
      <c r="H37" s="8"/>
      <c r="I37" s="7"/>
      <c r="O37" s="54"/>
      <c r="P37" s="55"/>
    </row>
    <row r="38" ht="15.75" customHeight="1">
      <c r="A38" s="92"/>
      <c r="B38" s="85"/>
      <c r="C38" s="86"/>
      <c r="D38" s="8"/>
      <c r="E38" s="87"/>
      <c r="F38" s="13"/>
      <c r="G38" s="63"/>
      <c r="H38" s="8"/>
      <c r="I38" s="7"/>
    </row>
    <row r="39" ht="15.75" customHeight="1"/>
    <row r="40" ht="15.75" customHeight="1">
      <c r="A40" s="5"/>
      <c r="B40" s="66" t="s">
        <v>119</v>
      </c>
      <c r="C40" s="66">
        <f>SUM(C4:C38)</f>
        <v>102300</v>
      </c>
      <c r="D40" s="5"/>
      <c r="E40" s="5"/>
      <c r="F40" s="5"/>
      <c r="G40" s="66" t="s">
        <v>119</v>
      </c>
      <c r="H40" s="66">
        <f>SUM(H4:H38)</f>
        <v>90130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/>
    <row r="42" ht="15.75" customHeight="1">
      <c r="G42" s="67" t="s">
        <v>157</v>
      </c>
      <c r="H42" s="2">
        <f>C40-H40</f>
        <v>12170</v>
      </c>
      <c r="O42" s="54"/>
    </row>
    <row r="43" ht="15.75" customHeight="1">
      <c r="G43" s="68" t="s">
        <v>230</v>
      </c>
      <c r="H43" s="2">
        <f>H4</f>
        <v>5000</v>
      </c>
    </row>
    <row r="44" ht="15.75" customHeight="1">
      <c r="G44" s="69" t="s">
        <v>343</v>
      </c>
      <c r="H44" s="2">
        <f>H42+H43</f>
        <v>17170</v>
      </c>
    </row>
    <row r="45" ht="15.75" customHeight="1">
      <c r="P45" s="82"/>
    </row>
    <row r="46" ht="15.75" customHeight="1">
      <c r="P46" s="82"/>
    </row>
    <row r="47" ht="15.75" customHeight="1">
      <c r="P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O53" s="54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25"/>
    <col customWidth="1" min="3" max="4" width="12.63"/>
    <col customWidth="1" min="5" max="5" width="3.38"/>
    <col customWidth="1" min="6" max="6" width="14.0"/>
    <col customWidth="1" min="7" max="7" width="27.63"/>
    <col customWidth="1" min="9" max="9" width="17.63"/>
    <col customWidth="1" min="11" max="11" width="17.13"/>
    <col customWidth="1" min="15" max="15" width="20.13"/>
  </cols>
  <sheetData>
    <row r="1" ht="15.75" customHeight="1">
      <c r="A1" s="33" t="s">
        <v>344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85" t="s">
        <v>11</v>
      </c>
      <c r="C4" s="86">
        <v>3550.0</v>
      </c>
      <c r="D4" s="8"/>
      <c r="E4" s="87"/>
      <c r="F4" s="45">
        <v>45811.0</v>
      </c>
      <c r="G4" s="88" t="s">
        <v>175</v>
      </c>
      <c r="H4" s="47">
        <v>10000.0</v>
      </c>
      <c r="I4" s="16" t="s">
        <v>132</v>
      </c>
    </row>
    <row r="5" ht="15.75" customHeight="1">
      <c r="A5" s="8">
        <v>2.0</v>
      </c>
      <c r="B5" s="85" t="s">
        <v>49</v>
      </c>
      <c r="C5" s="86">
        <v>3550.0</v>
      </c>
      <c r="D5" s="7"/>
      <c r="E5" s="87"/>
      <c r="F5" s="45">
        <v>45830.0</v>
      </c>
      <c r="G5" s="7" t="s">
        <v>289</v>
      </c>
      <c r="H5" s="11">
        <v>74000.0</v>
      </c>
      <c r="I5" s="16" t="s">
        <v>134</v>
      </c>
    </row>
    <row r="6" ht="15.75" customHeight="1">
      <c r="A6" s="8">
        <v>3.0</v>
      </c>
      <c r="B6" s="95" t="s">
        <v>52</v>
      </c>
      <c r="C6" s="86">
        <v>3550.0</v>
      </c>
      <c r="D6" s="8"/>
      <c r="E6" s="87"/>
      <c r="F6" s="45">
        <v>45830.0</v>
      </c>
      <c r="G6" s="48" t="s">
        <v>139</v>
      </c>
      <c r="H6" s="11">
        <v>2255.0</v>
      </c>
      <c r="I6" s="16" t="s">
        <v>134</v>
      </c>
      <c r="J6" s="49"/>
    </row>
    <row r="7" ht="15.75" customHeight="1">
      <c r="A7" s="8">
        <v>4.0</v>
      </c>
      <c r="B7" s="95" t="s">
        <v>269</v>
      </c>
      <c r="C7" s="86">
        <v>3550.0</v>
      </c>
      <c r="D7" s="8"/>
      <c r="E7" s="87"/>
      <c r="F7" s="45">
        <v>45830.0</v>
      </c>
      <c r="G7" s="50" t="s">
        <v>345</v>
      </c>
      <c r="H7" s="51">
        <v>3700.0</v>
      </c>
      <c r="I7" s="16" t="s">
        <v>134</v>
      </c>
      <c r="J7" s="52"/>
    </row>
    <row r="8" ht="15.75" customHeight="1">
      <c r="A8" s="8">
        <v>5.0</v>
      </c>
      <c r="B8" s="95" t="s">
        <v>346</v>
      </c>
      <c r="C8" s="86">
        <v>3550.0</v>
      </c>
      <c r="D8" s="8"/>
      <c r="E8" s="87"/>
      <c r="F8" s="45">
        <v>45830.0</v>
      </c>
      <c r="G8" s="53" t="s">
        <v>313</v>
      </c>
      <c r="H8" s="51">
        <v>2500.0</v>
      </c>
      <c r="I8" s="16" t="s">
        <v>134</v>
      </c>
      <c r="O8" s="54"/>
      <c r="P8" s="55"/>
    </row>
    <row r="9" ht="15.75" customHeight="1">
      <c r="A9" s="8">
        <v>6.0</v>
      </c>
      <c r="B9" s="95" t="s">
        <v>327</v>
      </c>
      <c r="C9" s="86">
        <v>3550.0</v>
      </c>
      <c r="D9" s="8"/>
      <c r="E9" s="87"/>
      <c r="F9" s="45">
        <v>45830.0</v>
      </c>
      <c r="G9" s="53" t="s">
        <v>347</v>
      </c>
      <c r="H9" s="51">
        <v>3050.0</v>
      </c>
      <c r="I9" s="16" t="s">
        <v>134</v>
      </c>
      <c r="J9" s="52"/>
      <c r="L9" s="62"/>
      <c r="M9" s="62"/>
    </row>
    <row r="10" ht="15.75" customHeight="1">
      <c r="A10" s="8">
        <v>7.0</v>
      </c>
      <c r="B10" s="95" t="s">
        <v>191</v>
      </c>
      <c r="C10" s="86">
        <v>3550.0</v>
      </c>
      <c r="D10" s="8"/>
      <c r="E10" s="87"/>
      <c r="F10" s="45">
        <v>45830.0</v>
      </c>
      <c r="G10" s="53" t="s">
        <v>348</v>
      </c>
      <c r="H10" s="51">
        <v>3050.0</v>
      </c>
      <c r="I10" s="16" t="s">
        <v>134</v>
      </c>
      <c r="J10" s="57"/>
      <c r="L10" s="62"/>
      <c r="M10" s="62"/>
    </row>
    <row r="11" ht="15.75" customHeight="1">
      <c r="A11" s="8">
        <v>8.0</v>
      </c>
      <c r="B11" s="95" t="s">
        <v>177</v>
      </c>
      <c r="C11" s="86">
        <v>3550.0</v>
      </c>
      <c r="D11" s="8"/>
      <c r="E11" s="87"/>
      <c r="F11" s="45">
        <v>45830.0</v>
      </c>
      <c r="G11" s="53" t="s">
        <v>349</v>
      </c>
      <c r="H11" s="51">
        <v>3050.0</v>
      </c>
      <c r="I11" s="16" t="s">
        <v>134</v>
      </c>
      <c r="J11" s="57"/>
      <c r="L11" s="62"/>
      <c r="M11" s="62"/>
    </row>
    <row r="12" ht="15.75" customHeight="1">
      <c r="A12" s="8">
        <v>9.0</v>
      </c>
      <c r="B12" s="95" t="s">
        <v>198</v>
      </c>
      <c r="C12" s="86">
        <v>3550.0</v>
      </c>
      <c r="D12" s="8"/>
      <c r="E12" s="87"/>
      <c r="F12" s="45"/>
      <c r="G12" s="53"/>
      <c r="H12" s="51"/>
      <c r="I12" s="16"/>
      <c r="L12" s="62"/>
      <c r="M12" s="62"/>
    </row>
    <row r="13" ht="15.75" customHeight="1">
      <c r="A13" s="8">
        <v>10.0</v>
      </c>
      <c r="B13" s="95" t="s">
        <v>229</v>
      </c>
      <c r="C13" s="86">
        <v>3550.0</v>
      </c>
      <c r="D13" s="8"/>
      <c r="E13" s="87"/>
      <c r="F13" s="45"/>
      <c r="G13" s="53"/>
      <c r="H13" s="51"/>
      <c r="I13" s="16"/>
      <c r="L13" s="62"/>
      <c r="M13" s="62"/>
    </row>
    <row r="14" ht="15.75" customHeight="1">
      <c r="A14" s="8">
        <v>11.0</v>
      </c>
      <c r="B14" s="95" t="s">
        <v>192</v>
      </c>
      <c r="C14" s="86">
        <v>3550.0</v>
      </c>
      <c r="D14" s="8"/>
      <c r="E14" s="87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95" t="s">
        <v>350</v>
      </c>
      <c r="C15" s="86">
        <v>3550.0</v>
      </c>
      <c r="D15" s="8"/>
      <c r="E15" s="87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95" t="s">
        <v>338</v>
      </c>
      <c r="C16" s="86">
        <v>3550.0</v>
      </c>
      <c r="D16" s="8"/>
      <c r="E16" s="87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95" t="s">
        <v>351</v>
      </c>
      <c r="C17" s="86">
        <v>3550.0</v>
      </c>
      <c r="D17" s="8"/>
      <c r="E17" s="87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95" t="s">
        <v>319</v>
      </c>
      <c r="C18" s="86">
        <v>3550.0</v>
      </c>
      <c r="D18" s="8"/>
      <c r="E18" s="87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95" t="s">
        <v>352</v>
      </c>
      <c r="C19" s="86">
        <v>3550.0</v>
      </c>
      <c r="D19" s="8"/>
      <c r="E19" s="87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95" t="s">
        <v>253</v>
      </c>
      <c r="C20" s="86">
        <v>3550.0</v>
      </c>
      <c r="D20" s="8"/>
      <c r="E20" s="87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95" t="s">
        <v>242</v>
      </c>
      <c r="C21" s="86">
        <v>3550.0</v>
      </c>
      <c r="D21" s="11"/>
      <c r="E21" s="87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95" t="s">
        <v>353</v>
      </c>
      <c r="C22" s="86">
        <v>3550.0</v>
      </c>
      <c r="D22" s="11"/>
      <c r="E22" s="87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95" t="s">
        <v>324</v>
      </c>
      <c r="C23" s="86">
        <v>3550.0</v>
      </c>
      <c r="D23" s="11"/>
      <c r="E23" s="87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95" t="s">
        <v>15</v>
      </c>
      <c r="C24" s="86">
        <v>3550.0</v>
      </c>
      <c r="D24" s="11"/>
      <c r="E24" s="87"/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95" t="s">
        <v>354</v>
      </c>
      <c r="C25" s="86">
        <v>3550.0</v>
      </c>
      <c r="D25" s="11"/>
      <c r="E25" s="87"/>
      <c r="F25" s="13"/>
      <c r="G25" s="63"/>
      <c r="H25" s="11"/>
      <c r="I25" s="7"/>
      <c r="L25" s="54"/>
      <c r="M25" s="54"/>
    </row>
    <row r="26" ht="15.75" customHeight="1">
      <c r="A26" s="92">
        <v>23.0</v>
      </c>
      <c r="B26" s="95" t="s">
        <v>279</v>
      </c>
      <c r="C26" s="86">
        <v>3550.0</v>
      </c>
      <c r="D26" s="11"/>
      <c r="E26" s="87"/>
      <c r="F26" s="13"/>
      <c r="G26" s="63"/>
      <c r="H26" s="8"/>
      <c r="I26" s="7"/>
    </row>
    <row r="27" ht="15.75" customHeight="1">
      <c r="A27" s="92">
        <v>24.0</v>
      </c>
      <c r="B27" s="95" t="s">
        <v>355</v>
      </c>
      <c r="C27" s="86">
        <v>3550.0</v>
      </c>
      <c r="D27" s="11"/>
      <c r="E27" s="87"/>
      <c r="F27" s="13"/>
      <c r="G27" s="63"/>
      <c r="H27" s="8"/>
      <c r="I27" s="7"/>
    </row>
    <row r="28" ht="15.75" customHeight="1">
      <c r="A28" s="92">
        <v>25.0</v>
      </c>
      <c r="B28" s="95" t="s">
        <v>193</v>
      </c>
      <c r="C28" s="86">
        <v>3550.0</v>
      </c>
      <c r="D28" s="11"/>
      <c r="E28" s="87"/>
      <c r="F28" s="13"/>
      <c r="G28" s="63"/>
      <c r="H28" s="8"/>
      <c r="I28" s="7"/>
    </row>
    <row r="29" ht="15.75" customHeight="1">
      <c r="A29" s="92">
        <v>26.0</v>
      </c>
      <c r="B29" s="96" t="s">
        <v>356</v>
      </c>
      <c r="C29" s="86">
        <v>3550.0</v>
      </c>
      <c r="D29" s="11"/>
      <c r="E29" s="87"/>
      <c r="F29" s="13"/>
      <c r="G29" s="63"/>
      <c r="H29" s="8"/>
      <c r="I29" s="7"/>
      <c r="O29" s="54"/>
      <c r="P29" s="55"/>
    </row>
    <row r="30" ht="15.75" customHeight="1">
      <c r="A30" s="92">
        <v>27.0</v>
      </c>
      <c r="B30" s="96" t="s">
        <v>236</v>
      </c>
      <c r="C30" s="86">
        <v>3550.0</v>
      </c>
      <c r="D30" s="11"/>
      <c r="E30" s="87"/>
      <c r="F30" s="13"/>
      <c r="G30" s="63"/>
      <c r="H30" s="8"/>
      <c r="I30" s="7"/>
      <c r="O30" s="54"/>
      <c r="P30" s="55"/>
    </row>
    <row r="31" ht="15.75" customHeight="1">
      <c r="A31" s="92">
        <v>28.0</v>
      </c>
      <c r="B31" s="96" t="s">
        <v>182</v>
      </c>
      <c r="C31" s="86">
        <v>3550.0</v>
      </c>
      <c r="D31" s="11"/>
      <c r="E31" s="87"/>
      <c r="F31" s="13"/>
      <c r="G31" s="63"/>
      <c r="H31" s="8"/>
      <c r="I31" s="7"/>
      <c r="O31" s="54"/>
      <c r="P31" s="55"/>
    </row>
    <row r="32" ht="15.75" customHeight="1">
      <c r="A32" s="92">
        <v>29.0</v>
      </c>
      <c r="B32" s="95" t="s">
        <v>357</v>
      </c>
      <c r="C32" s="86">
        <v>3550.0</v>
      </c>
      <c r="D32" s="11" t="s">
        <v>201</v>
      </c>
      <c r="E32" s="87"/>
      <c r="F32" s="13"/>
      <c r="G32" s="63"/>
      <c r="H32" s="8"/>
      <c r="I32" s="7"/>
      <c r="O32" s="54"/>
      <c r="P32" s="55"/>
    </row>
    <row r="33" ht="15.75" customHeight="1">
      <c r="A33" s="92">
        <v>30.0</v>
      </c>
      <c r="B33" s="95" t="s">
        <v>228</v>
      </c>
      <c r="C33" s="86">
        <v>3550.0</v>
      </c>
      <c r="D33" s="11" t="s">
        <v>201</v>
      </c>
      <c r="E33" s="87"/>
      <c r="F33" s="13"/>
      <c r="G33" s="63"/>
      <c r="H33" s="8"/>
      <c r="I33" s="7"/>
      <c r="O33" s="54"/>
      <c r="P33" s="55"/>
    </row>
    <row r="34" ht="15.75" customHeight="1">
      <c r="A34" s="92">
        <v>31.0</v>
      </c>
      <c r="B34" s="85" t="s">
        <v>358</v>
      </c>
      <c r="C34" s="86">
        <v>3550.0</v>
      </c>
      <c r="D34" s="11" t="s">
        <v>201</v>
      </c>
      <c r="E34" s="87"/>
      <c r="F34" s="13"/>
      <c r="G34" s="63"/>
      <c r="H34" s="8"/>
      <c r="I34" s="7"/>
      <c r="O34" s="54"/>
      <c r="P34" s="55"/>
    </row>
    <row r="35" ht="15.75" customHeight="1">
      <c r="A35" s="92">
        <v>32.0</v>
      </c>
      <c r="B35" s="85" t="s">
        <v>151</v>
      </c>
      <c r="C35" s="86"/>
      <c r="D35" s="8"/>
      <c r="E35" s="87"/>
      <c r="F35" s="13"/>
      <c r="G35" s="63"/>
      <c r="H35" s="8"/>
      <c r="I35" s="7"/>
    </row>
    <row r="36" ht="15.75" customHeight="1"/>
    <row r="37" ht="15.75" customHeight="1">
      <c r="A37" s="5"/>
      <c r="B37" s="66" t="s">
        <v>119</v>
      </c>
      <c r="C37" s="66">
        <f>SUM(C4:C35)</f>
        <v>110050</v>
      </c>
      <c r="D37" s="5"/>
      <c r="E37" s="5"/>
      <c r="F37" s="5"/>
      <c r="G37" s="66" t="s">
        <v>119</v>
      </c>
      <c r="H37" s="66">
        <f>SUM(H4:H35)</f>
        <v>101605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/>
    <row r="39" ht="15.75" customHeight="1">
      <c r="G39" s="67" t="s">
        <v>157</v>
      </c>
      <c r="H39" s="2">
        <f>C37-H37</f>
        <v>8445</v>
      </c>
      <c r="O39" s="54"/>
    </row>
    <row r="40" ht="15.75" customHeight="1">
      <c r="G40" s="68" t="s">
        <v>158</v>
      </c>
      <c r="H40" s="2">
        <f>H4</f>
        <v>10000</v>
      </c>
    </row>
    <row r="41" ht="15.75" customHeight="1">
      <c r="G41" s="69" t="s">
        <v>159</v>
      </c>
      <c r="H41" s="2">
        <f>H39+H40</f>
        <v>18445</v>
      </c>
    </row>
    <row r="42" ht="15.75" customHeight="1">
      <c r="P42" s="82"/>
    </row>
    <row r="43" ht="15.75" customHeight="1">
      <c r="P43" s="82"/>
    </row>
    <row r="44" ht="15.75" customHeight="1">
      <c r="P44" s="8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O50" s="5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7.63"/>
    <col customWidth="1" min="9" max="9" width="17.63"/>
    <col customWidth="1" min="11" max="11" width="17.13"/>
    <col customWidth="1" min="15" max="15" width="20.13"/>
  </cols>
  <sheetData>
    <row r="1" ht="15.75" customHeight="1">
      <c r="A1" s="33" t="s">
        <v>359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97" t="s">
        <v>52</v>
      </c>
      <c r="C4" s="86"/>
      <c r="D4" s="8"/>
      <c r="F4" s="45">
        <v>45826.0</v>
      </c>
      <c r="G4" s="46" t="s">
        <v>360</v>
      </c>
      <c r="H4" s="47"/>
      <c r="I4" s="16" t="s">
        <v>361</v>
      </c>
    </row>
    <row r="5" ht="15.75" customHeight="1">
      <c r="A5" s="8">
        <v>2.0</v>
      </c>
      <c r="B5" s="97" t="s">
        <v>269</v>
      </c>
      <c r="C5" s="86"/>
      <c r="D5" s="98"/>
      <c r="F5" s="45">
        <v>45824.0</v>
      </c>
      <c r="G5" s="16" t="s">
        <v>139</v>
      </c>
      <c r="H5" s="11"/>
      <c r="I5" s="16" t="s">
        <v>361</v>
      </c>
    </row>
    <row r="6" ht="15.75" customHeight="1">
      <c r="A6" s="8">
        <v>3.0</v>
      </c>
      <c r="B6" s="97" t="s">
        <v>208</v>
      </c>
      <c r="C6" s="86"/>
      <c r="D6" s="8"/>
      <c r="F6" s="45">
        <v>45826.0</v>
      </c>
      <c r="G6" s="48" t="s">
        <v>362</v>
      </c>
      <c r="H6" s="11"/>
      <c r="I6" s="16" t="s">
        <v>361</v>
      </c>
      <c r="J6" s="49"/>
    </row>
    <row r="7" ht="15.75" customHeight="1">
      <c r="A7" s="8">
        <v>4.0</v>
      </c>
      <c r="B7" s="97" t="s">
        <v>97</v>
      </c>
      <c r="C7" s="86"/>
      <c r="D7" s="8"/>
      <c r="F7" s="45">
        <v>45826.0</v>
      </c>
      <c r="G7" s="48" t="s">
        <v>363</v>
      </c>
      <c r="H7" s="11"/>
      <c r="I7" s="16" t="s">
        <v>361</v>
      </c>
      <c r="J7" s="52"/>
    </row>
    <row r="8" ht="15.75" customHeight="1">
      <c r="A8" s="8">
        <v>5.0</v>
      </c>
      <c r="B8" s="97" t="s">
        <v>364</v>
      </c>
      <c r="C8" s="86"/>
      <c r="D8" s="8"/>
      <c r="F8" s="45">
        <v>45826.0</v>
      </c>
      <c r="G8" s="48" t="s">
        <v>348</v>
      </c>
      <c r="H8" s="11"/>
      <c r="I8" s="16" t="s">
        <v>361</v>
      </c>
      <c r="O8" s="54"/>
      <c r="P8" s="55"/>
    </row>
    <row r="9" ht="15.75" customHeight="1">
      <c r="A9" s="8">
        <v>6.0</v>
      </c>
      <c r="B9" s="97" t="s">
        <v>217</v>
      </c>
      <c r="C9" s="86"/>
      <c r="D9" s="8"/>
      <c r="F9" s="45">
        <v>45826.0</v>
      </c>
      <c r="G9" s="48" t="s">
        <v>365</v>
      </c>
      <c r="H9" s="11"/>
      <c r="I9" s="16" t="s">
        <v>361</v>
      </c>
      <c r="J9" s="52"/>
      <c r="L9" s="62"/>
      <c r="M9" s="62"/>
    </row>
    <row r="10" ht="15.75" customHeight="1">
      <c r="A10" s="8">
        <v>7.0</v>
      </c>
      <c r="B10" s="97" t="s">
        <v>227</v>
      </c>
      <c r="C10" s="86"/>
      <c r="D10" s="8"/>
      <c r="F10" s="45">
        <v>45826.0</v>
      </c>
      <c r="G10" s="48" t="s">
        <v>366</v>
      </c>
      <c r="H10" s="11"/>
      <c r="I10" s="16" t="s">
        <v>361</v>
      </c>
      <c r="J10" s="57"/>
      <c r="L10" s="62"/>
      <c r="M10" s="62"/>
    </row>
    <row r="11" ht="15.75" customHeight="1">
      <c r="A11" s="8">
        <v>8.0</v>
      </c>
      <c r="B11" s="97" t="s">
        <v>193</v>
      </c>
      <c r="C11" s="86"/>
      <c r="D11" s="8"/>
      <c r="F11" s="45"/>
      <c r="G11" s="53"/>
      <c r="H11" s="51"/>
      <c r="I11" s="16"/>
      <c r="J11" s="57"/>
      <c r="L11" s="62"/>
      <c r="M11" s="62"/>
    </row>
    <row r="12" ht="15.75" customHeight="1">
      <c r="A12" s="8">
        <v>9.0</v>
      </c>
      <c r="B12" s="97" t="s">
        <v>367</v>
      </c>
      <c r="C12" s="86"/>
      <c r="D12" s="8"/>
      <c r="F12" s="45"/>
      <c r="G12" s="53"/>
      <c r="H12" s="51"/>
      <c r="I12" s="16"/>
      <c r="L12" s="62"/>
      <c r="M12" s="62"/>
    </row>
    <row r="13" ht="15.75" customHeight="1">
      <c r="A13" s="8">
        <v>10.0</v>
      </c>
      <c r="B13" s="97" t="s">
        <v>368</v>
      </c>
      <c r="C13" s="86"/>
      <c r="D13" s="8"/>
      <c r="F13" s="45"/>
      <c r="G13" s="53"/>
      <c r="H13" s="51"/>
      <c r="I13" s="16"/>
      <c r="L13" s="62"/>
      <c r="M13" s="62"/>
    </row>
    <row r="14" ht="15.75" customHeight="1">
      <c r="A14" s="8">
        <v>11.0</v>
      </c>
      <c r="B14" s="97" t="s">
        <v>369</v>
      </c>
      <c r="C14" s="86"/>
      <c r="D14" s="8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97" t="s">
        <v>261</v>
      </c>
      <c r="C15" s="86"/>
      <c r="D15" s="8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97" t="s">
        <v>301</v>
      </c>
      <c r="C16" s="86"/>
      <c r="D16" s="8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97" t="s">
        <v>279</v>
      </c>
      <c r="C17" s="86"/>
      <c r="D17" s="8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97" t="s">
        <v>303</v>
      </c>
      <c r="C18" s="86"/>
      <c r="D18" s="8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99" t="s">
        <v>11</v>
      </c>
      <c r="C19" s="86"/>
      <c r="D19" s="8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99" t="s">
        <v>49</v>
      </c>
      <c r="C20" s="86"/>
      <c r="D20" s="8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97" t="s">
        <v>370</v>
      </c>
      <c r="C21" s="86"/>
      <c r="D21" s="11" t="s">
        <v>201</v>
      </c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97" t="s">
        <v>240</v>
      </c>
      <c r="C22" s="86"/>
      <c r="D22" s="11" t="s">
        <v>201</v>
      </c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97" t="s">
        <v>188</v>
      </c>
      <c r="C23" s="86"/>
      <c r="D23" s="11" t="s">
        <v>201</v>
      </c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97" t="s">
        <v>338</v>
      </c>
      <c r="C24" s="86"/>
      <c r="D24" s="11" t="s">
        <v>201</v>
      </c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97" t="s">
        <v>371</v>
      </c>
      <c r="C25" s="86"/>
      <c r="D25" s="11" t="s">
        <v>201</v>
      </c>
      <c r="F25" s="13"/>
      <c r="G25" s="63"/>
      <c r="H25" s="11"/>
      <c r="I25" s="7"/>
      <c r="L25" s="54"/>
      <c r="M25" s="54"/>
    </row>
    <row r="26" ht="15.75" customHeight="1">
      <c r="A26" s="92"/>
      <c r="B26" s="97"/>
      <c r="C26" s="86"/>
      <c r="D26" s="11"/>
      <c r="F26" s="13"/>
      <c r="G26" s="63"/>
      <c r="H26" s="8"/>
      <c r="I26" s="7"/>
    </row>
    <row r="27" ht="15.75" customHeight="1">
      <c r="A27" s="92"/>
      <c r="B27" s="100"/>
      <c r="C27" s="86"/>
      <c r="D27" s="11"/>
      <c r="F27" s="13"/>
      <c r="G27" s="63"/>
      <c r="H27" s="8"/>
      <c r="I27" s="7"/>
    </row>
    <row r="28" ht="15.75" customHeight="1">
      <c r="A28" s="92"/>
      <c r="B28" s="100"/>
      <c r="C28" s="86"/>
      <c r="D28" s="11"/>
      <c r="F28" s="13"/>
      <c r="G28" s="63"/>
      <c r="H28" s="8"/>
      <c r="I28" s="7"/>
    </row>
    <row r="29" ht="15.75" customHeight="1">
      <c r="A29" s="90"/>
      <c r="B29" s="100"/>
      <c r="C29" s="86"/>
      <c r="D29" s="11"/>
      <c r="F29" s="13"/>
      <c r="G29" s="63"/>
      <c r="H29" s="8"/>
      <c r="I29" s="7"/>
      <c r="O29" s="54"/>
      <c r="P29" s="55"/>
    </row>
    <row r="30" ht="15.75" customHeight="1">
      <c r="A30" s="90"/>
      <c r="B30" s="100"/>
      <c r="C30" s="86"/>
      <c r="D30" s="11"/>
      <c r="F30" s="13"/>
      <c r="G30" s="63"/>
      <c r="H30" s="8"/>
      <c r="I30" s="7"/>
      <c r="O30" s="54"/>
      <c r="P30" s="55"/>
    </row>
    <row r="31" ht="15.75" customHeight="1">
      <c r="A31" s="90"/>
      <c r="B31" s="100"/>
      <c r="C31" s="86"/>
      <c r="D31" s="11"/>
      <c r="F31" s="13"/>
      <c r="G31" s="63"/>
      <c r="H31" s="8"/>
      <c r="I31" s="7"/>
      <c r="O31" s="54"/>
      <c r="P31" s="55"/>
    </row>
    <row r="32" ht="15.75" customHeight="1">
      <c r="A32" s="90"/>
      <c r="B32" s="100"/>
      <c r="C32" s="86"/>
      <c r="D32" s="11"/>
      <c r="F32" s="13"/>
      <c r="G32" s="63"/>
      <c r="H32" s="8"/>
      <c r="I32" s="7"/>
      <c r="O32" s="54"/>
      <c r="P32" s="55"/>
    </row>
    <row r="33" ht="15.75" customHeight="1">
      <c r="A33" s="90"/>
      <c r="B33" s="42"/>
      <c r="C33" s="86"/>
      <c r="D33" s="8"/>
      <c r="F33" s="13"/>
      <c r="G33" s="63"/>
      <c r="H33" s="8"/>
      <c r="I33" s="7"/>
    </row>
    <row r="34" ht="15.75" customHeight="1"/>
    <row r="35" ht="15.75" customHeight="1">
      <c r="A35" s="5"/>
      <c r="B35" s="66" t="s">
        <v>119</v>
      </c>
      <c r="C35" s="66">
        <f>SUM(C4:C33)</f>
        <v>0</v>
      </c>
      <c r="D35" s="5"/>
      <c r="E35" s="5"/>
      <c r="F35" s="5"/>
      <c r="G35" s="66" t="s">
        <v>119</v>
      </c>
      <c r="H35" s="66">
        <f>SUM(H4:H33)</f>
        <v>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/>
    <row r="37" ht="15.75" customHeight="1">
      <c r="G37" s="67" t="s">
        <v>157</v>
      </c>
      <c r="H37" s="2">
        <f>C35-H35</f>
        <v>0</v>
      </c>
      <c r="O37" s="54"/>
    </row>
    <row r="38" ht="15.75" customHeight="1">
      <c r="G38" s="68" t="s">
        <v>372</v>
      </c>
      <c r="H38" s="101">
        <v>0.0</v>
      </c>
    </row>
    <row r="39" ht="15.75" customHeight="1">
      <c r="G39" s="69" t="s">
        <v>373</v>
      </c>
      <c r="H39" s="2">
        <f>H37+H38</f>
        <v>0</v>
      </c>
    </row>
    <row r="40" ht="15.75" customHeight="1">
      <c r="P40" s="82"/>
    </row>
    <row r="41" ht="15.75" customHeight="1">
      <c r="P41" s="82"/>
    </row>
    <row r="42" ht="15.75" customHeight="1">
      <c r="P42" s="8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O48" s="5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7.63"/>
    <col customWidth="1" min="9" max="9" width="17.63"/>
    <col customWidth="1" min="11" max="11" width="17.13"/>
    <col customWidth="1" min="15" max="15" width="20.13"/>
  </cols>
  <sheetData>
    <row r="1" ht="15.75" customHeight="1">
      <c r="A1" s="33" t="s">
        <v>374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97" t="s">
        <v>52</v>
      </c>
      <c r="C4" s="86">
        <v>3650.0</v>
      </c>
      <c r="D4" s="8"/>
      <c r="F4" s="45">
        <v>45826.0</v>
      </c>
      <c r="G4" s="46" t="s">
        <v>360</v>
      </c>
      <c r="H4" s="47">
        <v>54225.0</v>
      </c>
      <c r="I4" s="16" t="s">
        <v>361</v>
      </c>
    </row>
    <row r="5" ht="15.75" customHeight="1">
      <c r="A5" s="8">
        <v>2.0</v>
      </c>
      <c r="B5" s="97" t="s">
        <v>269</v>
      </c>
      <c r="C5" s="86">
        <v>3650.0</v>
      </c>
      <c r="D5" s="98"/>
      <c r="F5" s="45">
        <v>45824.0</v>
      </c>
      <c r="G5" s="16" t="s">
        <v>139</v>
      </c>
      <c r="H5" s="11">
        <v>1450.0</v>
      </c>
      <c r="I5" s="16" t="s">
        <v>361</v>
      </c>
    </row>
    <row r="6" ht="15.75" customHeight="1">
      <c r="A6" s="8">
        <v>3.0</v>
      </c>
      <c r="B6" s="97" t="s">
        <v>208</v>
      </c>
      <c r="C6" s="86">
        <v>3650.0</v>
      </c>
      <c r="D6" s="8"/>
      <c r="F6" s="45">
        <v>45826.0</v>
      </c>
      <c r="G6" s="48" t="s">
        <v>362</v>
      </c>
      <c r="H6" s="11">
        <v>3150.0</v>
      </c>
      <c r="I6" s="16" t="s">
        <v>361</v>
      </c>
      <c r="J6" s="49"/>
    </row>
    <row r="7" ht="15.75" customHeight="1">
      <c r="A7" s="8">
        <v>4.0</v>
      </c>
      <c r="B7" s="97" t="s">
        <v>97</v>
      </c>
      <c r="C7" s="86">
        <v>3650.0</v>
      </c>
      <c r="D7" s="8"/>
      <c r="F7" s="45">
        <v>45826.0</v>
      </c>
      <c r="G7" s="48" t="s">
        <v>363</v>
      </c>
      <c r="H7" s="11">
        <v>3150.0</v>
      </c>
      <c r="I7" s="16" t="s">
        <v>361</v>
      </c>
      <c r="J7" s="52"/>
    </row>
    <row r="8" ht="15.75" customHeight="1">
      <c r="A8" s="8">
        <v>5.0</v>
      </c>
      <c r="B8" s="97" t="s">
        <v>364</v>
      </c>
      <c r="C8" s="86">
        <v>3650.0</v>
      </c>
      <c r="D8" s="8"/>
      <c r="F8" s="45">
        <v>45826.0</v>
      </c>
      <c r="G8" s="48" t="s">
        <v>348</v>
      </c>
      <c r="H8" s="11">
        <v>3150.0</v>
      </c>
      <c r="I8" s="16" t="s">
        <v>361</v>
      </c>
      <c r="O8" s="54"/>
      <c r="P8" s="55"/>
    </row>
    <row r="9" ht="15.75" customHeight="1">
      <c r="A9" s="8">
        <v>6.0</v>
      </c>
      <c r="B9" s="97" t="s">
        <v>217</v>
      </c>
      <c r="C9" s="86">
        <v>3650.0</v>
      </c>
      <c r="D9" s="8"/>
      <c r="F9" s="45">
        <v>45826.0</v>
      </c>
      <c r="G9" s="48" t="s">
        <v>365</v>
      </c>
      <c r="H9" s="11">
        <v>3150.0</v>
      </c>
      <c r="I9" s="16" t="s">
        <v>361</v>
      </c>
      <c r="J9" s="52"/>
      <c r="L9" s="62"/>
      <c r="M9" s="62"/>
    </row>
    <row r="10" ht="15.75" customHeight="1">
      <c r="A10" s="8">
        <v>7.0</v>
      </c>
      <c r="B10" s="97" t="s">
        <v>227</v>
      </c>
      <c r="C10" s="86">
        <v>3650.0</v>
      </c>
      <c r="D10" s="8"/>
      <c r="F10" s="45">
        <v>45826.0</v>
      </c>
      <c r="G10" s="48" t="s">
        <v>366</v>
      </c>
      <c r="H10" s="11">
        <v>3150.0</v>
      </c>
      <c r="I10" s="16" t="s">
        <v>361</v>
      </c>
      <c r="J10" s="57"/>
      <c r="L10" s="62"/>
      <c r="M10" s="62"/>
    </row>
    <row r="11" ht="15.75" customHeight="1">
      <c r="A11" s="8">
        <v>8.0</v>
      </c>
      <c r="B11" s="97" t="s">
        <v>193</v>
      </c>
      <c r="C11" s="86">
        <v>3650.0</v>
      </c>
      <c r="D11" s="8"/>
      <c r="F11" s="45"/>
      <c r="G11" s="53"/>
      <c r="H11" s="51"/>
      <c r="I11" s="16"/>
      <c r="J11" s="57"/>
      <c r="L11" s="62"/>
      <c r="M11" s="62"/>
    </row>
    <row r="12" ht="15.75" customHeight="1">
      <c r="A12" s="8">
        <v>9.0</v>
      </c>
      <c r="B12" s="97" t="s">
        <v>367</v>
      </c>
      <c r="C12" s="86">
        <v>3650.0</v>
      </c>
      <c r="D12" s="8"/>
      <c r="F12" s="45"/>
      <c r="G12" s="53"/>
      <c r="H12" s="51"/>
      <c r="I12" s="16"/>
      <c r="L12" s="62"/>
      <c r="M12" s="62"/>
    </row>
    <row r="13" ht="15.75" customHeight="1">
      <c r="A13" s="8">
        <v>10.0</v>
      </c>
      <c r="B13" s="97" t="s">
        <v>368</v>
      </c>
      <c r="C13" s="86">
        <v>3650.0</v>
      </c>
      <c r="D13" s="8"/>
      <c r="F13" s="45"/>
      <c r="G13" s="53"/>
      <c r="H13" s="51"/>
      <c r="I13" s="16"/>
      <c r="L13" s="62"/>
      <c r="M13" s="62"/>
    </row>
    <row r="14" ht="15.75" customHeight="1">
      <c r="A14" s="8">
        <v>11.0</v>
      </c>
      <c r="B14" s="97" t="s">
        <v>369</v>
      </c>
      <c r="C14" s="86">
        <v>3650.0</v>
      </c>
      <c r="D14" s="8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97" t="s">
        <v>261</v>
      </c>
      <c r="C15" s="86">
        <v>3650.0</v>
      </c>
      <c r="D15" s="8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97" t="s">
        <v>301</v>
      </c>
      <c r="C16" s="86">
        <v>3650.0</v>
      </c>
      <c r="D16" s="8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97" t="s">
        <v>279</v>
      </c>
      <c r="C17" s="86">
        <v>3650.0</v>
      </c>
      <c r="D17" s="8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97" t="s">
        <v>303</v>
      </c>
      <c r="C18" s="86">
        <v>3650.0</v>
      </c>
      <c r="D18" s="8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99" t="s">
        <v>11</v>
      </c>
      <c r="C19" s="86">
        <v>3650.0</v>
      </c>
      <c r="D19" s="8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99" t="s">
        <v>49</v>
      </c>
      <c r="C20" s="86">
        <v>3650.0</v>
      </c>
      <c r="D20" s="8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97" t="s">
        <v>370</v>
      </c>
      <c r="C21" s="86">
        <v>3650.0</v>
      </c>
      <c r="D21" s="11" t="s">
        <v>201</v>
      </c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97" t="s">
        <v>240</v>
      </c>
      <c r="C22" s="86">
        <v>3650.0</v>
      </c>
      <c r="D22" s="11" t="s">
        <v>201</v>
      </c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97" t="s">
        <v>188</v>
      </c>
      <c r="C23" s="86">
        <v>3650.0</v>
      </c>
      <c r="D23" s="11" t="s">
        <v>201</v>
      </c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97" t="s">
        <v>338</v>
      </c>
      <c r="C24" s="86">
        <v>3650.0</v>
      </c>
      <c r="D24" s="11" t="s">
        <v>201</v>
      </c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97" t="s">
        <v>371</v>
      </c>
      <c r="C25" s="86">
        <v>3650.0</v>
      </c>
      <c r="D25" s="11" t="s">
        <v>201</v>
      </c>
      <c r="F25" s="13"/>
      <c r="G25" s="63"/>
      <c r="H25" s="11"/>
      <c r="I25" s="7"/>
      <c r="L25" s="54"/>
      <c r="M25" s="54"/>
    </row>
    <row r="26" ht="15.75" customHeight="1">
      <c r="A26" s="92"/>
      <c r="B26" s="97"/>
      <c r="C26" s="86"/>
      <c r="D26" s="11"/>
      <c r="F26" s="13"/>
      <c r="G26" s="63"/>
      <c r="H26" s="8"/>
      <c r="I26" s="7"/>
    </row>
    <row r="27" ht="15.75" customHeight="1">
      <c r="A27" s="92"/>
      <c r="B27" s="100"/>
      <c r="C27" s="86"/>
      <c r="D27" s="11"/>
      <c r="F27" s="13"/>
      <c r="G27" s="63"/>
      <c r="H27" s="8"/>
      <c r="I27" s="7"/>
    </row>
    <row r="28" ht="15.75" customHeight="1">
      <c r="A28" s="92"/>
      <c r="B28" s="100"/>
      <c r="C28" s="86"/>
      <c r="D28" s="11"/>
      <c r="F28" s="13"/>
      <c r="G28" s="63"/>
      <c r="H28" s="8"/>
      <c r="I28" s="7"/>
    </row>
    <row r="29" ht="15.75" customHeight="1">
      <c r="A29" s="90"/>
      <c r="B29" s="100"/>
      <c r="C29" s="86"/>
      <c r="D29" s="11"/>
      <c r="F29" s="13"/>
      <c r="G29" s="63"/>
      <c r="H29" s="8"/>
      <c r="I29" s="7"/>
      <c r="O29" s="54"/>
      <c r="P29" s="55"/>
    </row>
    <row r="30" ht="15.75" customHeight="1">
      <c r="A30" s="90"/>
      <c r="B30" s="100"/>
      <c r="C30" s="86"/>
      <c r="D30" s="11"/>
      <c r="F30" s="13"/>
      <c r="G30" s="63"/>
      <c r="H30" s="8"/>
      <c r="I30" s="7"/>
      <c r="O30" s="54"/>
      <c r="P30" s="55"/>
    </row>
    <row r="31" ht="15.75" customHeight="1">
      <c r="A31" s="90"/>
      <c r="B31" s="100"/>
      <c r="C31" s="86"/>
      <c r="D31" s="11"/>
      <c r="F31" s="13"/>
      <c r="G31" s="63"/>
      <c r="H31" s="8"/>
      <c r="I31" s="7"/>
      <c r="O31" s="54"/>
      <c r="P31" s="55"/>
    </row>
    <row r="32" ht="15.75" customHeight="1">
      <c r="A32" s="90"/>
      <c r="B32" s="100"/>
      <c r="C32" s="86"/>
      <c r="D32" s="11"/>
      <c r="F32" s="13"/>
      <c r="G32" s="63"/>
      <c r="H32" s="8"/>
      <c r="I32" s="7"/>
      <c r="O32" s="54"/>
      <c r="P32" s="55"/>
    </row>
    <row r="33" ht="15.75" customHeight="1">
      <c r="A33" s="90"/>
      <c r="B33" s="42"/>
      <c r="C33" s="86"/>
      <c r="D33" s="8"/>
      <c r="F33" s="13"/>
      <c r="G33" s="63"/>
      <c r="H33" s="8"/>
      <c r="I33" s="7"/>
    </row>
    <row r="34" ht="15.75" customHeight="1"/>
    <row r="35" ht="15.75" customHeight="1">
      <c r="A35" s="5"/>
      <c r="B35" s="66" t="s">
        <v>119</v>
      </c>
      <c r="C35" s="66">
        <f>SUM(C4:C33)</f>
        <v>80300</v>
      </c>
      <c r="D35" s="5"/>
      <c r="E35" s="5"/>
      <c r="F35" s="5"/>
      <c r="G35" s="66" t="s">
        <v>119</v>
      </c>
      <c r="H35" s="66">
        <f>SUM(H4:H33)</f>
        <v>71425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/>
    <row r="37" ht="15.75" customHeight="1">
      <c r="G37" s="67" t="s">
        <v>157</v>
      </c>
      <c r="H37" s="2">
        <f>C35-H35</f>
        <v>8875</v>
      </c>
      <c r="O37" s="54"/>
    </row>
    <row r="38" ht="15.75" customHeight="1">
      <c r="G38" s="68" t="s">
        <v>372</v>
      </c>
      <c r="H38" s="101">
        <v>0.0</v>
      </c>
    </row>
    <row r="39" ht="15.75" customHeight="1">
      <c r="G39" s="69" t="s">
        <v>373</v>
      </c>
      <c r="H39" s="2">
        <f>H37+H38</f>
        <v>8875</v>
      </c>
    </row>
    <row r="40" ht="15.75" customHeight="1">
      <c r="P40" s="82"/>
    </row>
    <row r="41" ht="15.75" customHeight="1">
      <c r="P41" s="82"/>
    </row>
    <row r="42" ht="15.75" customHeight="1">
      <c r="P42" s="8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O48" s="5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7.63"/>
    <col customWidth="1" min="9" max="9" width="17.63"/>
    <col customWidth="1" min="11" max="11" width="17.13"/>
    <col customWidth="1" min="15" max="15" width="20.13"/>
  </cols>
  <sheetData>
    <row r="1" ht="15.75" customHeight="1">
      <c r="A1" s="33" t="s">
        <v>375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42" t="s">
        <v>36</v>
      </c>
      <c r="C4" s="86">
        <v>3200.0</v>
      </c>
      <c r="D4" s="8"/>
      <c r="F4" s="45">
        <v>45755.0</v>
      </c>
      <c r="G4" s="88" t="s">
        <v>175</v>
      </c>
      <c r="H4" s="47">
        <v>15000.0</v>
      </c>
      <c r="I4" s="16" t="s">
        <v>361</v>
      </c>
    </row>
    <row r="5" ht="15.75" customHeight="1">
      <c r="A5" s="8">
        <v>2.0</v>
      </c>
      <c r="B5" s="42" t="s">
        <v>179</v>
      </c>
      <c r="C5" s="86">
        <v>3200.0</v>
      </c>
      <c r="D5" s="98"/>
      <c r="F5" s="45">
        <v>45763.0</v>
      </c>
      <c r="G5" s="7" t="s">
        <v>289</v>
      </c>
      <c r="H5" s="11">
        <v>10000.0</v>
      </c>
      <c r="I5" s="16" t="s">
        <v>376</v>
      </c>
    </row>
    <row r="6" ht="15.75" customHeight="1">
      <c r="A6" s="8">
        <v>3.0</v>
      </c>
      <c r="B6" s="42" t="s">
        <v>240</v>
      </c>
      <c r="C6" s="86">
        <v>3200.0</v>
      </c>
      <c r="D6" s="8"/>
      <c r="F6" s="45">
        <v>45767.0</v>
      </c>
      <c r="G6" s="48" t="s">
        <v>139</v>
      </c>
      <c r="H6" s="11">
        <v>1710.0</v>
      </c>
      <c r="I6" s="16" t="s">
        <v>376</v>
      </c>
      <c r="J6" s="49"/>
    </row>
    <row r="7" ht="15.75" customHeight="1">
      <c r="A7" s="8">
        <v>4.0</v>
      </c>
      <c r="B7" s="42" t="s">
        <v>203</v>
      </c>
      <c r="C7" s="86">
        <v>3200.0</v>
      </c>
      <c r="D7" s="8"/>
      <c r="F7" s="45">
        <v>45767.0</v>
      </c>
      <c r="G7" s="50" t="s">
        <v>345</v>
      </c>
      <c r="H7" s="51">
        <v>14826.0</v>
      </c>
      <c r="I7" s="16" t="s">
        <v>376</v>
      </c>
      <c r="J7" s="52"/>
    </row>
    <row r="8" ht="15.75" customHeight="1">
      <c r="A8" s="8">
        <v>5.0</v>
      </c>
      <c r="B8" s="42" t="s">
        <v>192</v>
      </c>
      <c r="C8" s="86">
        <v>3200.0</v>
      </c>
      <c r="D8" s="8"/>
      <c r="F8" s="45">
        <v>45768.0</v>
      </c>
      <c r="G8" s="53" t="s">
        <v>313</v>
      </c>
      <c r="H8" s="51">
        <v>2500.0</v>
      </c>
      <c r="I8" s="16" t="s">
        <v>376</v>
      </c>
      <c r="O8" s="54"/>
      <c r="P8" s="55"/>
    </row>
    <row r="9" ht="15.75" customHeight="1">
      <c r="A9" s="8">
        <v>6.0</v>
      </c>
      <c r="B9" s="42" t="s">
        <v>377</v>
      </c>
      <c r="C9" s="86">
        <v>3200.0</v>
      </c>
      <c r="D9" s="8"/>
      <c r="F9" s="45">
        <v>45768.0</v>
      </c>
      <c r="G9" s="53" t="s">
        <v>378</v>
      </c>
      <c r="H9" s="51">
        <v>2700.0</v>
      </c>
      <c r="I9" s="16" t="s">
        <v>376</v>
      </c>
      <c r="J9" s="52"/>
      <c r="L9" s="62"/>
      <c r="M9" s="62"/>
    </row>
    <row r="10" ht="15.75" customHeight="1">
      <c r="A10" s="8">
        <v>7.0</v>
      </c>
      <c r="B10" s="42" t="s">
        <v>191</v>
      </c>
      <c r="C10" s="86">
        <v>3200.0</v>
      </c>
      <c r="D10" s="8"/>
      <c r="F10" s="45">
        <v>45768.0</v>
      </c>
      <c r="G10" s="53" t="s">
        <v>379</v>
      </c>
      <c r="H10" s="51">
        <v>2700.0</v>
      </c>
      <c r="I10" s="16" t="s">
        <v>376</v>
      </c>
      <c r="J10" s="57"/>
      <c r="L10" s="62"/>
      <c r="M10" s="62"/>
    </row>
    <row r="11" ht="15.75" customHeight="1">
      <c r="A11" s="8">
        <v>8.0</v>
      </c>
      <c r="B11" s="42" t="s">
        <v>208</v>
      </c>
      <c r="C11" s="86">
        <v>3200.0</v>
      </c>
      <c r="D11" s="8"/>
      <c r="F11" s="45">
        <v>45768.0</v>
      </c>
      <c r="G11" s="53" t="s">
        <v>380</v>
      </c>
      <c r="H11" s="51">
        <v>2700.0</v>
      </c>
      <c r="I11" s="16" t="s">
        <v>376</v>
      </c>
      <c r="J11" s="57"/>
      <c r="L11" s="62"/>
      <c r="M11" s="62"/>
    </row>
    <row r="12" ht="15.75" customHeight="1">
      <c r="A12" s="8">
        <v>9.0</v>
      </c>
      <c r="B12" s="42" t="s">
        <v>194</v>
      </c>
      <c r="C12" s="86">
        <v>3200.0</v>
      </c>
      <c r="D12" s="8"/>
      <c r="F12" s="45">
        <v>45768.0</v>
      </c>
      <c r="G12" s="53" t="s">
        <v>348</v>
      </c>
      <c r="H12" s="51">
        <v>2700.0</v>
      </c>
      <c r="I12" s="16" t="s">
        <v>376</v>
      </c>
      <c r="L12" s="62"/>
      <c r="M12" s="62"/>
    </row>
    <row r="13" ht="15.75" customHeight="1">
      <c r="A13" s="8">
        <v>10.0</v>
      </c>
      <c r="B13" s="42" t="s">
        <v>217</v>
      </c>
      <c r="C13" s="86">
        <v>3200.0</v>
      </c>
      <c r="D13" s="8"/>
      <c r="F13" s="45">
        <v>45768.0</v>
      </c>
      <c r="G13" s="53" t="s">
        <v>381</v>
      </c>
      <c r="H13" s="51">
        <v>3200.0</v>
      </c>
      <c r="I13" s="16" t="s">
        <v>376</v>
      </c>
      <c r="L13" s="62"/>
      <c r="M13" s="62"/>
    </row>
    <row r="14" ht="15.75" customHeight="1">
      <c r="A14" s="8">
        <v>11.0</v>
      </c>
      <c r="B14" s="42" t="s">
        <v>279</v>
      </c>
      <c r="C14" s="86">
        <v>3200.0</v>
      </c>
      <c r="D14" s="8"/>
      <c r="F14" s="45"/>
      <c r="G14" s="53"/>
      <c r="H14" s="51"/>
      <c r="I14" s="16"/>
      <c r="L14" s="62"/>
      <c r="M14" s="62"/>
    </row>
    <row r="15" ht="15.75" customHeight="1">
      <c r="A15" s="90">
        <v>12.0</v>
      </c>
      <c r="B15" s="42" t="s">
        <v>227</v>
      </c>
      <c r="C15" s="86">
        <v>3200.0</v>
      </c>
      <c r="D15" s="8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42" t="s">
        <v>52</v>
      </c>
      <c r="C16" s="86">
        <v>3200.0</v>
      </c>
      <c r="D16" s="8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42" t="s">
        <v>269</v>
      </c>
      <c r="C17" s="86">
        <v>3200.0</v>
      </c>
      <c r="D17" s="8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42" t="s">
        <v>193</v>
      </c>
      <c r="C18" s="86">
        <v>3200.0</v>
      </c>
      <c r="D18" s="8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42" t="s">
        <v>382</v>
      </c>
      <c r="C19" s="86">
        <v>3200.0</v>
      </c>
      <c r="D19" s="8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42" t="s">
        <v>383</v>
      </c>
      <c r="C20" s="86">
        <v>0.0</v>
      </c>
      <c r="D20" s="8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42" t="s">
        <v>11</v>
      </c>
      <c r="C21" s="86">
        <v>3200.0</v>
      </c>
      <c r="D21" s="11" t="s">
        <v>201</v>
      </c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42" t="s">
        <v>49</v>
      </c>
      <c r="C22" s="86">
        <v>3200.0</v>
      </c>
      <c r="D22" s="11" t="s">
        <v>201</v>
      </c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42" t="s">
        <v>274</v>
      </c>
      <c r="C23" s="86">
        <v>3200.0</v>
      </c>
      <c r="D23" s="11" t="s">
        <v>201</v>
      </c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42" t="s">
        <v>188</v>
      </c>
      <c r="C24" s="86">
        <v>3200.0</v>
      </c>
      <c r="D24" s="11" t="s">
        <v>201</v>
      </c>
      <c r="F24" s="13"/>
      <c r="G24" s="63"/>
      <c r="H24" s="8"/>
      <c r="I24" s="7"/>
      <c r="L24" s="62"/>
      <c r="M24" s="62"/>
    </row>
    <row r="25" ht="15.75" customHeight="1">
      <c r="A25" s="92">
        <v>22.0</v>
      </c>
      <c r="B25" s="42" t="s">
        <v>384</v>
      </c>
      <c r="C25" s="86">
        <v>3200.0</v>
      </c>
      <c r="D25" s="11" t="s">
        <v>201</v>
      </c>
      <c r="F25" s="13"/>
      <c r="G25" s="63"/>
      <c r="H25" s="11"/>
      <c r="I25" s="7"/>
      <c r="L25" s="54"/>
      <c r="M25" s="54"/>
    </row>
    <row r="26" ht="15.75" customHeight="1">
      <c r="A26" s="90"/>
      <c r="B26" s="42"/>
      <c r="C26" s="86"/>
      <c r="D26" s="11"/>
      <c r="F26" s="13"/>
      <c r="G26" s="63"/>
      <c r="H26" s="8"/>
      <c r="I26" s="7"/>
    </row>
    <row r="27" ht="15.75" customHeight="1">
      <c r="A27" s="90"/>
      <c r="B27" s="42"/>
      <c r="C27" s="86"/>
      <c r="D27" s="11"/>
      <c r="F27" s="13"/>
      <c r="G27" s="63"/>
      <c r="H27" s="8"/>
      <c r="I27" s="7"/>
    </row>
    <row r="28" ht="15.75" customHeight="1">
      <c r="A28" s="90"/>
      <c r="B28" s="42"/>
      <c r="C28" s="86"/>
      <c r="D28" s="11"/>
      <c r="F28" s="13"/>
      <c r="G28" s="63"/>
      <c r="H28" s="8"/>
      <c r="I28" s="7"/>
    </row>
    <row r="29" ht="15.75" customHeight="1">
      <c r="A29" s="90"/>
      <c r="B29" s="42"/>
      <c r="C29" s="86"/>
      <c r="D29" s="11"/>
      <c r="F29" s="13"/>
      <c r="G29" s="63"/>
      <c r="H29" s="8"/>
      <c r="I29" s="7"/>
      <c r="O29" s="54"/>
      <c r="P29" s="55"/>
    </row>
    <row r="30" ht="15.75" customHeight="1">
      <c r="A30" s="90"/>
      <c r="B30" s="42"/>
      <c r="C30" s="86"/>
      <c r="D30" s="11"/>
      <c r="F30" s="13"/>
      <c r="G30" s="63"/>
      <c r="H30" s="8"/>
      <c r="I30" s="7"/>
      <c r="O30" s="54"/>
      <c r="P30" s="55"/>
    </row>
    <row r="31" ht="15.75" customHeight="1">
      <c r="A31" s="90"/>
      <c r="B31" s="42"/>
      <c r="C31" s="86"/>
      <c r="D31" s="11"/>
      <c r="F31" s="13"/>
      <c r="G31" s="63"/>
      <c r="H31" s="8"/>
      <c r="I31" s="7"/>
      <c r="O31" s="54"/>
      <c r="P31" s="55"/>
    </row>
    <row r="32" ht="15.75" customHeight="1">
      <c r="A32" s="90"/>
      <c r="B32" s="42"/>
      <c r="C32" s="86"/>
      <c r="D32" s="11"/>
      <c r="F32" s="13"/>
      <c r="G32" s="63"/>
      <c r="H32" s="8"/>
      <c r="I32" s="7"/>
      <c r="O32" s="54"/>
      <c r="P32" s="55"/>
    </row>
    <row r="33" ht="15.75" customHeight="1">
      <c r="A33" s="90"/>
      <c r="B33" s="42"/>
      <c r="C33" s="86"/>
      <c r="D33" s="8"/>
      <c r="F33" s="13"/>
      <c r="G33" s="63"/>
      <c r="H33" s="8"/>
      <c r="I33" s="7"/>
    </row>
    <row r="34" ht="15.75" customHeight="1"/>
    <row r="35" ht="15.75" customHeight="1">
      <c r="A35" s="5"/>
      <c r="B35" s="66" t="s">
        <v>119</v>
      </c>
      <c r="C35" s="66">
        <f>SUM(C4:C33)</f>
        <v>67200</v>
      </c>
      <c r="D35" s="5"/>
      <c r="E35" s="5"/>
      <c r="F35" s="5"/>
      <c r="G35" s="66" t="s">
        <v>119</v>
      </c>
      <c r="H35" s="66">
        <f>SUM(H4:H33)</f>
        <v>58036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/>
    <row r="37" ht="15.75" customHeight="1">
      <c r="G37" s="67" t="s">
        <v>157</v>
      </c>
      <c r="H37" s="2">
        <f>C35-H35</f>
        <v>9164</v>
      </c>
      <c r="O37" s="54"/>
    </row>
    <row r="38" ht="15.75" customHeight="1">
      <c r="G38" s="68" t="s">
        <v>372</v>
      </c>
      <c r="H38" s="2">
        <f>H4</f>
        <v>15000</v>
      </c>
    </row>
    <row r="39" ht="15.75" customHeight="1">
      <c r="G39" s="69" t="s">
        <v>385</v>
      </c>
      <c r="H39" s="2">
        <f>H37+H38</f>
        <v>24164</v>
      </c>
    </row>
    <row r="40" ht="15.75" customHeight="1">
      <c r="P40" s="82"/>
    </row>
    <row r="41" ht="15.75" customHeight="1">
      <c r="P41" s="82"/>
    </row>
    <row r="42" ht="15.75" customHeight="1">
      <c r="P42" s="8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O48" s="5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7.63"/>
    <col customWidth="1" min="9" max="9" width="17.63"/>
    <col customWidth="1" min="11" max="11" width="17.13"/>
    <col customWidth="1" min="12" max="12" width="15.88"/>
    <col customWidth="1" min="13" max="13" width="13.13"/>
    <col customWidth="1" min="14" max="14" width="12.75"/>
    <col customWidth="1" min="15" max="15" width="20.13"/>
  </cols>
  <sheetData>
    <row r="1" ht="15.75" customHeight="1">
      <c r="A1" s="33" t="s">
        <v>386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36" t="s">
        <v>123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42" t="s">
        <v>11</v>
      </c>
      <c r="C4" s="43">
        <v>4000.0</v>
      </c>
      <c r="D4" s="44"/>
      <c r="F4" s="45">
        <v>45713.0</v>
      </c>
      <c r="G4" s="46" t="s">
        <v>131</v>
      </c>
      <c r="H4" s="47">
        <v>20000.0</v>
      </c>
      <c r="I4" s="16" t="s">
        <v>132</v>
      </c>
    </row>
    <row r="5" ht="15.75" customHeight="1">
      <c r="A5" s="8">
        <v>2.0</v>
      </c>
      <c r="B5" s="42" t="s">
        <v>52</v>
      </c>
      <c r="C5" s="43">
        <v>4000.0</v>
      </c>
      <c r="D5" s="44"/>
      <c r="F5" s="45">
        <v>45739.0</v>
      </c>
      <c r="G5" s="16" t="s">
        <v>133</v>
      </c>
      <c r="H5" s="11">
        <v>30352.0</v>
      </c>
      <c r="I5" s="16" t="s">
        <v>134</v>
      </c>
    </row>
    <row r="6" ht="15.75" customHeight="1">
      <c r="A6" s="8">
        <v>3.0</v>
      </c>
      <c r="B6" s="42" t="s">
        <v>36</v>
      </c>
      <c r="C6" s="43">
        <v>4000.0</v>
      </c>
      <c r="D6" s="44"/>
      <c r="F6" s="45">
        <v>45739.0</v>
      </c>
      <c r="G6" s="48" t="s">
        <v>135</v>
      </c>
      <c r="H6" s="11">
        <v>2500.0</v>
      </c>
      <c r="I6" s="16" t="s">
        <v>134</v>
      </c>
      <c r="J6" s="49"/>
    </row>
    <row r="7" ht="15.75" customHeight="1">
      <c r="A7" s="8">
        <v>4.0</v>
      </c>
      <c r="B7" s="42" t="s">
        <v>193</v>
      </c>
      <c r="C7" s="43">
        <v>4000.0</v>
      </c>
      <c r="D7" s="44"/>
      <c r="F7" s="45">
        <v>45739.0</v>
      </c>
      <c r="G7" s="50" t="s">
        <v>136</v>
      </c>
      <c r="H7" s="51">
        <v>160900.0</v>
      </c>
      <c r="I7" s="16" t="s">
        <v>134</v>
      </c>
      <c r="J7" s="52"/>
    </row>
    <row r="8" ht="15.75" customHeight="1">
      <c r="A8" s="8">
        <v>5.0</v>
      </c>
      <c r="B8" s="42" t="s">
        <v>179</v>
      </c>
      <c r="C8" s="43">
        <v>4000.0</v>
      </c>
      <c r="D8" s="44"/>
      <c r="F8" s="45">
        <v>45739.0</v>
      </c>
      <c r="G8" s="53" t="s">
        <v>137</v>
      </c>
      <c r="H8" s="51">
        <v>17000.0</v>
      </c>
      <c r="I8" s="16" t="s">
        <v>134</v>
      </c>
      <c r="O8" s="54"/>
      <c r="P8" s="55"/>
    </row>
    <row r="9" ht="15.75" customHeight="1">
      <c r="A9" s="8">
        <v>6.0</v>
      </c>
      <c r="B9" s="42" t="s">
        <v>49</v>
      </c>
      <c r="C9" s="43">
        <v>4000.0</v>
      </c>
      <c r="D9" s="44"/>
      <c r="F9" s="45">
        <v>45739.0</v>
      </c>
      <c r="G9" s="53" t="s">
        <v>138</v>
      </c>
      <c r="H9" s="51">
        <v>3250.0</v>
      </c>
      <c r="I9" s="16" t="s">
        <v>134</v>
      </c>
      <c r="J9" s="52"/>
      <c r="K9" s="52"/>
      <c r="L9" s="52"/>
      <c r="M9" s="56"/>
      <c r="N9" s="57"/>
    </row>
    <row r="10" ht="15.75" customHeight="1">
      <c r="A10" s="8">
        <v>7.0</v>
      </c>
      <c r="B10" s="42" t="s">
        <v>387</v>
      </c>
      <c r="C10" s="43">
        <v>4000.0</v>
      </c>
      <c r="D10" s="44"/>
      <c r="F10" s="45">
        <v>45739.0</v>
      </c>
      <c r="G10" s="53" t="s">
        <v>139</v>
      </c>
      <c r="H10" s="51">
        <v>8442.0</v>
      </c>
      <c r="I10" s="16" t="s">
        <v>134</v>
      </c>
      <c r="J10" s="57"/>
      <c r="K10" s="52"/>
      <c r="L10" s="52"/>
      <c r="M10" s="56"/>
      <c r="N10" s="57"/>
    </row>
    <row r="11" ht="15.75" customHeight="1">
      <c r="A11" s="8">
        <v>8.0</v>
      </c>
      <c r="B11" s="42" t="s">
        <v>388</v>
      </c>
      <c r="C11" s="43">
        <v>4000.0</v>
      </c>
      <c r="D11" s="44"/>
      <c r="F11" s="45">
        <v>45739.0</v>
      </c>
      <c r="G11" s="53" t="s">
        <v>140</v>
      </c>
      <c r="H11" s="51">
        <v>8100.0</v>
      </c>
      <c r="I11" s="16" t="s">
        <v>134</v>
      </c>
      <c r="J11" s="57"/>
      <c r="K11" s="57"/>
      <c r="L11" s="56"/>
      <c r="M11" s="56"/>
      <c r="N11" s="57"/>
    </row>
    <row r="12" ht="15.75" customHeight="1">
      <c r="A12" s="8">
        <v>9.0</v>
      </c>
      <c r="B12" s="42" t="s">
        <v>389</v>
      </c>
      <c r="C12" s="43">
        <v>4000.0</v>
      </c>
      <c r="D12" s="44"/>
      <c r="F12" s="45">
        <v>45740.0</v>
      </c>
      <c r="G12" s="42" t="s">
        <v>390</v>
      </c>
      <c r="H12" s="51">
        <v>2900.0</v>
      </c>
      <c r="I12" s="16" t="s">
        <v>134</v>
      </c>
      <c r="J12" s="52" t="s">
        <v>142</v>
      </c>
      <c r="K12" s="57"/>
      <c r="L12" s="56"/>
      <c r="M12" s="56"/>
      <c r="N12" s="57"/>
    </row>
    <row r="13" ht="15.75" customHeight="1">
      <c r="A13" s="8">
        <v>10.0</v>
      </c>
      <c r="B13" s="42" t="s">
        <v>188</v>
      </c>
      <c r="C13" s="43">
        <v>4000.0</v>
      </c>
      <c r="D13" s="44"/>
      <c r="F13" s="45">
        <v>45740.0</v>
      </c>
      <c r="G13" s="42" t="s">
        <v>143</v>
      </c>
      <c r="H13" s="51">
        <v>2900.0</v>
      </c>
      <c r="I13" s="16" t="s">
        <v>134</v>
      </c>
      <c r="J13" s="57"/>
      <c r="K13" s="57"/>
      <c r="L13" s="56"/>
      <c r="M13" s="56"/>
      <c r="N13" s="57"/>
    </row>
    <row r="14" ht="15.75" customHeight="1">
      <c r="A14" s="8">
        <v>11.0</v>
      </c>
      <c r="B14" s="42" t="s">
        <v>203</v>
      </c>
      <c r="C14" s="43">
        <v>4000.0</v>
      </c>
      <c r="D14" s="44"/>
      <c r="F14" s="45">
        <v>45740.0</v>
      </c>
      <c r="G14" s="42" t="s">
        <v>144</v>
      </c>
      <c r="H14" s="51">
        <v>2900.0</v>
      </c>
      <c r="I14" s="16" t="s">
        <v>134</v>
      </c>
      <c r="J14" s="57"/>
      <c r="K14" s="57"/>
      <c r="L14" s="56"/>
      <c r="M14" s="56"/>
      <c r="N14" s="57"/>
    </row>
    <row r="15" ht="15.0" customHeight="1">
      <c r="A15" s="8">
        <v>12.0</v>
      </c>
      <c r="B15" s="42" t="s">
        <v>198</v>
      </c>
      <c r="C15" s="43">
        <v>4000.0</v>
      </c>
      <c r="D15" s="44"/>
      <c r="F15" s="45">
        <v>45740.0</v>
      </c>
      <c r="G15" s="42" t="s">
        <v>145</v>
      </c>
      <c r="H15" s="51">
        <v>2900.0</v>
      </c>
      <c r="I15" s="16" t="s">
        <v>134</v>
      </c>
      <c r="J15" s="57"/>
      <c r="K15" s="57"/>
      <c r="L15" s="56"/>
      <c r="M15" s="56"/>
      <c r="N15" s="57"/>
    </row>
    <row r="16" ht="15.0" customHeight="1">
      <c r="A16" s="8">
        <v>13.0</v>
      </c>
      <c r="B16" s="42" t="s">
        <v>177</v>
      </c>
      <c r="C16" s="43">
        <v>4000.0</v>
      </c>
      <c r="D16" s="44"/>
      <c r="F16" s="45">
        <v>45740.0</v>
      </c>
      <c r="G16" s="42" t="s">
        <v>146</v>
      </c>
      <c r="H16" s="51">
        <v>2900.0</v>
      </c>
      <c r="I16" s="16" t="s">
        <v>134</v>
      </c>
      <c r="J16" s="57"/>
      <c r="K16" s="57"/>
      <c r="L16" s="56"/>
      <c r="M16" s="56"/>
      <c r="N16" s="57"/>
    </row>
    <row r="17" ht="15.0" customHeight="1">
      <c r="A17" s="8">
        <v>14.0</v>
      </c>
      <c r="B17" s="42" t="s">
        <v>391</v>
      </c>
      <c r="C17" s="43">
        <v>4000.0</v>
      </c>
      <c r="D17" s="44"/>
      <c r="F17" s="45">
        <v>45740.0</v>
      </c>
      <c r="G17" s="53" t="s">
        <v>147</v>
      </c>
      <c r="H17" s="51">
        <v>3600.0</v>
      </c>
      <c r="I17" s="16" t="s">
        <v>134</v>
      </c>
      <c r="J17" s="57"/>
      <c r="K17" s="57"/>
      <c r="L17" s="56"/>
      <c r="M17" s="56"/>
      <c r="N17" s="57"/>
    </row>
    <row r="18" ht="15.0" customHeight="1">
      <c r="A18" s="8">
        <v>15.0</v>
      </c>
      <c r="B18" s="42" t="s">
        <v>278</v>
      </c>
      <c r="C18" s="43">
        <v>4000.0</v>
      </c>
      <c r="D18" s="44"/>
      <c r="F18" s="45"/>
      <c r="G18" s="53"/>
      <c r="H18" s="51"/>
      <c r="I18" s="16"/>
      <c r="J18" s="57"/>
      <c r="K18" s="57"/>
      <c r="L18" s="56"/>
      <c r="M18" s="56"/>
      <c r="N18" s="57"/>
    </row>
    <row r="19" ht="15.0" customHeight="1">
      <c r="A19" s="8">
        <v>16.0</v>
      </c>
      <c r="B19" s="42" t="s">
        <v>191</v>
      </c>
      <c r="C19" s="43">
        <v>4000.0</v>
      </c>
      <c r="D19" s="44"/>
      <c r="F19" s="45"/>
      <c r="G19" s="53"/>
      <c r="H19" s="51"/>
      <c r="I19" s="16"/>
      <c r="J19" s="57"/>
      <c r="K19" s="57"/>
      <c r="L19" s="56"/>
      <c r="M19" s="56"/>
      <c r="N19" s="57"/>
    </row>
    <row r="20" ht="15.0" customHeight="1">
      <c r="A20" s="8">
        <v>17.0</v>
      </c>
      <c r="B20" s="42" t="s">
        <v>338</v>
      </c>
      <c r="C20" s="43">
        <v>4000.0</v>
      </c>
      <c r="D20" s="44"/>
      <c r="F20" s="45"/>
      <c r="G20" s="53"/>
      <c r="H20" s="51"/>
      <c r="I20" s="16"/>
      <c r="J20" s="57"/>
      <c r="K20" s="57"/>
      <c r="L20" s="56"/>
      <c r="M20" s="56"/>
      <c r="N20" s="57"/>
    </row>
    <row r="21" ht="15.0" customHeight="1">
      <c r="A21" s="8">
        <v>18.0</v>
      </c>
      <c r="B21" s="42" t="s">
        <v>392</v>
      </c>
      <c r="C21" s="43">
        <v>4000.0</v>
      </c>
      <c r="D21" s="44"/>
      <c r="F21" s="45"/>
      <c r="G21" s="53"/>
      <c r="H21" s="51"/>
      <c r="I21" s="16"/>
      <c r="J21" s="57"/>
      <c r="K21" s="57"/>
      <c r="L21" s="56"/>
      <c r="M21" s="56"/>
      <c r="N21" s="57"/>
    </row>
    <row r="22" ht="15.0" customHeight="1">
      <c r="A22" s="8">
        <v>19.0</v>
      </c>
      <c r="B22" s="42" t="s">
        <v>393</v>
      </c>
      <c r="C22" s="43">
        <v>4000.0</v>
      </c>
      <c r="D22" s="44"/>
      <c r="F22" s="45"/>
      <c r="G22" s="53"/>
      <c r="H22" s="51"/>
      <c r="I22" s="16"/>
      <c r="J22" s="57"/>
      <c r="K22" s="57"/>
      <c r="L22" s="56"/>
      <c r="M22" s="56"/>
      <c r="N22" s="57"/>
    </row>
    <row r="23" ht="15.0" customHeight="1">
      <c r="A23" s="8">
        <v>20.0</v>
      </c>
      <c r="B23" s="42" t="s">
        <v>394</v>
      </c>
      <c r="C23" s="43">
        <v>4000.0</v>
      </c>
      <c r="D23" s="44"/>
      <c r="F23" s="45"/>
      <c r="G23" s="53"/>
      <c r="H23" s="51"/>
      <c r="I23" s="16"/>
      <c r="J23" s="57"/>
      <c r="K23" s="57"/>
      <c r="L23" s="56"/>
      <c r="M23" s="56"/>
      <c r="N23" s="57"/>
    </row>
    <row r="24" ht="15.0" customHeight="1">
      <c r="A24" s="8">
        <v>21.0</v>
      </c>
      <c r="B24" s="42" t="s">
        <v>274</v>
      </c>
      <c r="C24" s="43">
        <v>4000.0</v>
      </c>
      <c r="D24" s="44"/>
      <c r="F24" s="45"/>
      <c r="G24" s="53"/>
      <c r="H24" s="51"/>
      <c r="I24" s="16"/>
      <c r="J24" s="57"/>
      <c r="K24" s="57"/>
      <c r="L24" s="56"/>
      <c r="M24" s="56"/>
      <c r="N24" s="57"/>
    </row>
    <row r="25" ht="15.0" customHeight="1">
      <c r="A25" s="8">
        <v>22.0</v>
      </c>
      <c r="B25" s="42" t="s">
        <v>336</v>
      </c>
      <c r="C25" s="43">
        <v>4000.0</v>
      </c>
      <c r="D25" s="44"/>
      <c r="F25" s="45"/>
      <c r="G25" s="53"/>
      <c r="H25" s="51"/>
      <c r="I25" s="16"/>
      <c r="J25" s="57"/>
      <c r="K25" s="57"/>
      <c r="L25" s="56"/>
      <c r="M25" s="56"/>
      <c r="N25" s="57"/>
    </row>
    <row r="26" ht="15.0" customHeight="1">
      <c r="A26" s="8">
        <v>23.0</v>
      </c>
      <c r="B26" s="42" t="s">
        <v>242</v>
      </c>
      <c r="C26" s="43">
        <v>4000.0</v>
      </c>
      <c r="D26" s="44"/>
      <c r="F26" s="45"/>
      <c r="G26" s="53"/>
      <c r="H26" s="51"/>
      <c r="I26" s="16"/>
      <c r="J26" s="57"/>
      <c r="K26" s="57"/>
      <c r="L26" s="56"/>
      <c r="M26" s="56"/>
      <c r="N26" s="57"/>
    </row>
    <row r="27" ht="15.0" customHeight="1">
      <c r="A27" s="8">
        <v>24.0</v>
      </c>
      <c r="B27" s="42" t="s">
        <v>192</v>
      </c>
      <c r="C27" s="43">
        <v>4000.0</v>
      </c>
      <c r="D27" s="44"/>
      <c r="F27" s="45"/>
      <c r="G27" s="53"/>
      <c r="H27" s="51"/>
      <c r="I27" s="16"/>
      <c r="J27" s="57"/>
      <c r="K27" s="57"/>
      <c r="L27" s="56"/>
      <c r="M27" s="56"/>
      <c r="N27" s="57"/>
    </row>
    <row r="28" ht="15.0" customHeight="1">
      <c r="A28" s="8">
        <v>25.0</v>
      </c>
      <c r="B28" s="42" t="s">
        <v>307</v>
      </c>
      <c r="C28" s="43">
        <v>4000.0</v>
      </c>
      <c r="D28" s="44"/>
      <c r="F28" s="45"/>
      <c r="G28" s="53"/>
      <c r="H28" s="51"/>
      <c r="I28" s="16"/>
      <c r="J28" s="57"/>
      <c r="K28" s="57"/>
      <c r="L28" s="56"/>
      <c r="M28" s="56"/>
      <c r="N28" s="57"/>
    </row>
    <row r="29" ht="15.0" customHeight="1">
      <c r="A29" s="8">
        <v>26.0</v>
      </c>
      <c r="B29" s="42" t="s">
        <v>15</v>
      </c>
      <c r="C29" s="43">
        <v>4000.0</v>
      </c>
      <c r="D29" s="44"/>
      <c r="F29" s="45"/>
      <c r="G29" s="53"/>
      <c r="H29" s="51"/>
      <c r="I29" s="16"/>
      <c r="J29" s="57"/>
      <c r="K29" s="57"/>
      <c r="L29" s="56"/>
      <c r="M29" s="56"/>
      <c r="N29" s="57"/>
    </row>
    <row r="30" ht="15.0" customHeight="1">
      <c r="A30" s="8">
        <v>27.0</v>
      </c>
      <c r="B30" s="42" t="s">
        <v>229</v>
      </c>
      <c r="C30" s="43">
        <v>4000.0</v>
      </c>
      <c r="D30" s="44"/>
      <c r="F30" s="45"/>
      <c r="G30" s="53"/>
      <c r="H30" s="51"/>
      <c r="I30" s="16"/>
      <c r="J30" s="57"/>
      <c r="K30" s="57"/>
      <c r="L30" s="56"/>
      <c r="M30" s="56"/>
      <c r="N30" s="57"/>
    </row>
    <row r="31" ht="15.0" customHeight="1">
      <c r="A31" s="8">
        <v>28.0</v>
      </c>
      <c r="B31" s="42" t="s">
        <v>269</v>
      </c>
      <c r="C31" s="43">
        <v>4000.0</v>
      </c>
      <c r="D31" s="44"/>
      <c r="F31" s="45"/>
      <c r="G31" s="53"/>
      <c r="H31" s="51"/>
      <c r="I31" s="16"/>
      <c r="J31" s="57"/>
      <c r="K31" s="57"/>
      <c r="L31" s="56"/>
      <c r="M31" s="56"/>
      <c r="N31" s="57"/>
    </row>
    <row r="32" ht="15.0" customHeight="1">
      <c r="A32" s="8">
        <v>29.0</v>
      </c>
      <c r="B32" s="42" t="s">
        <v>395</v>
      </c>
      <c r="C32" s="43">
        <v>4000.0</v>
      </c>
      <c r="D32" s="44"/>
      <c r="F32" s="45"/>
      <c r="G32" s="53"/>
      <c r="H32" s="51"/>
      <c r="I32" s="16"/>
      <c r="J32" s="57"/>
      <c r="K32" s="57"/>
      <c r="L32" s="56"/>
      <c r="M32" s="56"/>
      <c r="N32" s="57"/>
    </row>
    <row r="33" ht="15.0" customHeight="1">
      <c r="A33" s="8">
        <v>30.0</v>
      </c>
      <c r="B33" s="42" t="s">
        <v>396</v>
      </c>
      <c r="C33" s="43">
        <v>4000.0</v>
      </c>
      <c r="D33" s="44"/>
      <c r="F33" s="45"/>
      <c r="G33" s="53"/>
      <c r="H33" s="51"/>
      <c r="I33" s="16"/>
      <c r="J33" s="57"/>
      <c r="K33" s="57"/>
      <c r="L33" s="56"/>
      <c r="M33" s="56"/>
      <c r="N33" s="57"/>
    </row>
    <row r="34" ht="15.0" customHeight="1">
      <c r="A34" s="8">
        <v>31.0</v>
      </c>
      <c r="B34" s="42" t="s">
        <v>291</v>
      </c>
      <c r="C34" s="43">
        <v>4000.0</v>
      </c>
      <c r="D34" s="44"/>
      <c r="F34" s="45"/>
      <c r="G34" s="53"/>
      <c r="H34" s="51"/>
      <c r="I34" s="16"/>
      <c r="J34" s="57"/>
      <c r="K34" s="57"/>
      <c r="L34" s="56"/>
      <c r="M34" s="56"/>
      <c r="N34" s="57"/>
    </row>
    <row r="35" ht="15.0" customHeight="1">
      <c r="A35" s="8">
        <v>32.0</v>
      </c>
      <c r="B35" s="42" t="s">
        <v>196</v>
      </c>
      <c r="C35" s="43">
        <v>4000.0</v>
      </c>
      <c r="D35" s="44"/>
      <c r="F35" s="45"/>
      <c r="G35" s="53"/>
      <c r="H35" s="51"/>
      <c r="I35" s="16"/>
      <c r="J35" s="57"/>
      <c r="K35" s="57"/>
      <c r="L35" s="56"/>
      <c r="M35" s="56"/>
      <c r="N35" s="57"/>
    </row>
    <row r="36" ht="15.0" customHeight="1">
      <c r="A36" s="8">
        <v>33.0</v>
      </c>
      <c r="B36" s="42" t="s">
        <v>397</v>
      </c>
      <c r="C36" s="43">
        <v>4000.0</v>
      </c>
      <c r="D36" s="44"/>
      <c r="F36" s="45"/>
      <c r="G36" s="53"/>
      <c r="H36" s="51"/>
      <c r="I36" s="16"/>
      <c r="J36" s="57"/>
      <c r="K36" s="57"/>
      <c r="L36" s="56"/>
      <c r="M36" s="56"/>
      <c r="N36" s="57"/>
    </row>
    <row r="37" ht="15.0" customHeight="1">
      <c r="A37" s="8">
        <v>34.0</v>
      </c>
      <c r="B37" s="42" t="s">
        <v>398</v>
      </c>
      <c r="C37" s="43">
        <v>4000.0</v>
      </c>
      <c r="D37" s="44"/>
      <c r="F37" s="45"/>
      <c r="G37" s="53"/>
      <c r="H37" s="51"/>
      <c r="I37" s="16"/>
      <c r="J37" s="57"/>
      <c r="K37" s="57"/>
      <c r="L37" s="56"/>
      <c r="M37" s="56"/>
      <c r="N37" s="57"/>
    </row>
    <row r="38" ht="15.75" customHeight="1">
      <c r="A38" s="8">
        <v>35.0</v>
      </c>
      <c r="B38" s="42" t="s">
        <v>303</v>
      </c>
      <c r="C38" s="43">
        <v>4000.0</v>
      </c>
      <c r="D38" s="44"/>
      <c r="F38" s="45"/>
      <c r="G38" s="53"/>
      <c r="H38" s="51"/>
      <c r="I38" s="16"/>
      <c r="J38" s="57"/>
      <c r="K38" s="57"/>
      <c r="L38" s="56"/>
      <c r="M38" s="56"/>
      <c r="N38" s="57"/>
    </row>
    <row r="39" ht="15.75" customHeight="1">
      <c r="A39" s="8">
        <v>36.0</v>
      </c>
      <c r="B39" s="42" t="s">
        <v>399</v>
      </c>
      <c r="C39" s="43">
        <v>4000.0</v>
      </c>
      <c r="D39" s="44"/>
      <c r="F39" s="45"/>
      <c r="G39" s="53"/>
      <c r="H39" s="51"/>
      <c r="I39" s="16"/>
      <c r="J39" s="57"/>
      <c r="K39" s="57"/>
      <c r="L39" s="56"/>
      <c r="M39" s="56"/>
      <c r="N39" s="57"/>
    </row>
    <row r="40" ht="15.75" customHeight="1">
      <c r="A40" s="8">
        <v>37.0</v>
      </c>
      <c r="B40" s="42" t="s">
        <v>221</v>
      </c>
      <c r="C40" s="43">
        <v>4000.0</v>
      </c>
      <c r="D40" s="44"/>
      <c r="F40" s="45"/>
      <c r="G40" s="53"/>
      <c r="H40" s="51"/>
      <c r="I40" s="16"/>
      <c r="J40" s="57"/>
      <c r="K40" s="57"/>
      <c r="L40" s="56"/>
      <c r="M40" s="56"/>
      <c r="N40" s="57"/>
    </row>
    <row r="41" ht="15.75" customHeight="1">
      <c r="A41" s="8">
        <v>38.0</v>
      </c>
      <c r="B41" s="42" t="s">
        <v>400</v>
      </c>
      <c r="C41" s="43">
        <v>4000.0</v>
      </c>
      <c r="D41" s="44"/>
      <c r="F41" s="45"/>
      <c r="G41" s="53"/>
      <c r="H41" s="51"/>
      <c r="I41" s="16"/>
      <c r="J41" s="57"/>
      <c r="K41" s="57"/>
      <c r="L41" s="56"/>
      <c r="M41" s="56"/>
      <c r="N41" s="57"/>
    </row>
    <row r="42" ht="15.75" customHeight="1">
      <c r="A42" s="8">
        <v>39.0</v>
      </c>
      <c r="B42" s="42" t="s">
        <v>401</v>
      </c>
      <c r="C42" s="43">
        <v>4000.0</v>
      </c>
      <c r="D42" s="44"/>
      <c r="F42" s="45"/>
      <c r="G42" s="53"/>
      <c r="H42" s="51"/>
      <c r="I42" s="16"/>
      <c r="J42" s="57"/>
      <c r="K42" s="57"/>
      <c r="L42" s="56"/>
      <c r="M42" s="56"/>
      <c r="N42" s="57"/>
    </row>
    <row r="43" ht="15.75" customHeight="1">
      <c r="A43" s="8">
        <v>40.0</v>
      </c>
      <c r="B43" s="42" t="s">
        <v>402</v>
      </c>
      <c r="C43" s="43">
        <v>4000.0</v>
      </c>
      <c r="D43" s="44"/>
      <c r="F43" s="45"/>
      <c r="G43" s="53"/>
      <c r="H43" s="51"/>
      <c r="I43" s="16"/>
      <c r="J43" s="57"/>
      <c r="K43" s="57"/>
      <c r="L43" s="56"/>
      <c r="M43" s="56"/>
      <c r="N43" s="57"/>
    </row>
    <row r="44" ht="15.75" customHeight="1">
      <c r="A44" s="8">
        <v>41.0</v>
      </c>
      <c r="B44" s="42" t="s">
        <v>306</v>
      </c>
      <c r="C44" s="43">
        <v>4000.0</v>
      </c>
      <c r="D44" s="44"/>
      <c r="F44" s="45"/>
      <c r="G44" s="53"/>
      <c r="H44" s="51"/>
      <c r="I44" s="16"/>
      <c r="L44" s="62"/>
      <c r="M44" s="62"/>
    </row>
    <row r="45" ht="15.75" customHeight="1">
      <c r="A45" s="8">
        <v>42.0</v>
      </c>
      <c r="B45" s="42" t="s">
        <v>403</v>
      </c>
      <c r="C45" s="43">
        <v>4000.0</v>
      </c>
      <c r="D45" s="44"/>
      <c r="F45" s="45"/>
      <c r="G45" s="53"/>
      <c r="H45" s="51"/>
      <c r="I45" s="16"/>
      <c r="L45" s="62"/>
      <c r="M45" s="62"/>
    </row>
    <row r="46" ht="15.75" customHeight="1">
      <c r="A46" s="8">
        <v>43.0</v>
      </c>
      <c r="B46" s="42" t="s">
        <v>384</v>
      </c>
      <c r="C46" s="43">
        <v>4000.0</v>
      </c>
      <c r="D46" s="44"/>
      <c r="F46" s="45"/>
      <c r="G46" s="53"/>
      <c r="H46" s="51"/>
      <c r="I46" s="16"/>
      <c r="L46" s="62"/>
      <c r="M46" s="62"/>
    </row>
    <row r="47" ht="15.75" customHeight="1">
      <c r="A47" s="8">
        <v>44.0</v>
      </c>
      <c r="B47" s="42" t="s">
        <v>227</v>
      </c>
      <c r="C47" s="43">
        <v>4000.0</v>
      </c>
      <c r="D47" s="44"/>
      <c r="F47" s="13"/>
      <c r="G47" s="63"/>
      <c r="H47" s="8"/>
      <c r="I47" s="7"/>
      <c r="L47" s="62"/>
      <c r="M47" s="62"/>
    </row>
    <row r="48" ht="15.75" customHeight="1">
      <c r="A48" s="8">
        <v>45.0</v>
      </c>
      <c r="B48" s="42" t="s">
        <v>182</v>
      </c>
      <c r="C48" s="43">
        <v>4000.0</v>
      </c>
      <c r="D48" s="44"/>
      <c r="F48" s="13"/>
      <c r="G48" s="63"/>
      <c r="H48" s="8"/>
      <c r="I48" s="7"/>
      <c r="L48" s="62"/>
      <c r="M48" s="62"/>
    </row>
    <row r="49" ht="15.75" customHeight="1">
      <c r="A49" s="8">
        <v>46.0</v>
      </c>
      <c r="B49" s="42" t="s">
        <v>404</v>
      </c>
      <c r="C49" s="43">
        <v>4000.0</v>
      </c>
      <c r="D49" s="44"/>
      <c r="F49" s="13"/>
      <c r="G49" s="63"/>
      <c r="H49" s="8"/>
      <c r="I49" s="7"/>
      <c r="L49" s="62"/>
      <c r="M49" s="62"/>
    </row>
    <row r="50" ht="15.75" customHeight="1">
      <c r="A50" s="8">
        <v>47.0</v>
      </c>
      <c r="B50" s="42" t="s">
        <v>405</v>
      </c>
      <c r="C50" s="43">
        <v>4000.0</v>
      </c>
      <c r="D50" s="44"/>
      <c r="F50" s="13"/>
      <c r="G50" s="63"/>
      <c r="H50" s="8"/>
      <c r="I50" s="7"/>
      <c r="L50" s="62"/>
      <c r="M50" s="62"/>
    </row>
    <row r="51" ht="15.75" customHeight="1">
      <c r="A51" s="8">
        <v>48.0</v>
      </c>
      <c r="B51" s="42" t="s">
        <v>406</v>
      </c>
      <c r="C51" s="43">
        <v>4000.0</v>
      </c>
      <c r="D51" s="44"/>
      <c r="F51" s="13"/>
      <c r="G51" s="63"/>
      <c r="H51" s="8"/>
      <c r="I51" s="7"/>
      <c r="L51" s="62"/>
      <c r="M51" s="62"/>
    </row>
    <row r="52" ht="15.75" customHeight="1">
      <c r="A52" s="8">
        <v>49.0</v>
      </c>
      <c r="B52" s="42" t="s">
        <v>407</v>
      </c>
      <c r="C52" s="43">
        <v>4000.0</v>
      </c>
      <c r="D52" s="44"/>
      <c r="F52" s="13"/>
      <c r="G52" s="63"/>
      <c r="H52" s="8"/>
      <c r="I52" s="7"/>
      <c r="L52" s="62"/>
      <c r="M52" s="62"/>
    </row>
    <row r="53" ht="15.75" customHeight="1">
      <c r="A53" s="8">
        <v>50.0</v>
      </c>
      <c r="B53" s="42" t="s">
        <v>408</v>
      </c>
      <c r="C53" s="43">
        <v>4000.0</v>
      </c>
      <c r="D53" s="44"/>
      <c r="F53" s="13"/>
      <c r="G53" s="63"/>
      <c r="H53" s="8"/>
      <c r="I53" s="7"/>
      <c r="L53" s="62"/>
      <c r="M53" s="62"/>
    </row>
    <row r="54" ht="15.75" customHeight="1">
      <c r="A54" s="8">
        <v>51.0</v>
      </c>
      <c r="B54" s="42" t="s">
        <v>409</v>
      </c>
      <c r="C54" s="43">
        <v>4000.0</v>
      </c>
      <c r="D54" s="44"/>
      <c r="F54" s="13"/>
      <c r="G54" s="63"/>
      <c r="H54" s="8"/>
      <c r="I54" s="7"/>
      <c r="L54" s="62"/>
      <c r="M54" s="62"/>
    </row>
    <row r="55" ht="15.75" customHeight="1">
      <c r="A55" s="8">
        <v>52.0</v>
      </c>
      <c r="B55" s="42" t="s">
        <v>410</v>
      </c>
      <c r="C55" s="43">
        <v>4000.0</v>
      </c>
      <c r="D55" s="44"/>
      <c r="F55" s="13"/>
      <c r="G55" s="63"/>
      <c r="H55" s="8"/>
      <c r="I55" s="7"/>
      <c r="L55" s="62"/>
      <c r="M55" s="62"/>
    </row>
    <row r="56" ht="15.75" customHeight="1">
      <c r="A56" s="8">
        <v>53.0</v>
      </c>
      <c r="B56" s="42" t="s">
        <v>411</v>
      </c>
      <c r="C56" s="43">
        <v>4000.0</v>
      </c>
      <c r="D56" s="44"/>
      <c r="F56" s="13"/>
      <c r="G56" s="63"/>
      <c r="H56" s="8"/>
      <c r="I56" s="7"/>
      <c r="L56" s="62"/>
      <c r="M56" s="62"/>
    </row>
    <row r="57" ht="15.75" customHeight="1">
      <c r="A57" s="8">
        <v>54.0</v>
      </c>
      <c r="B57" s="42" t="s">
        <v>412</v>
      </c>
      <c r="C57" s="43">
        <v>4000.0</v>
      </c>
      <c r="D57" s="43" t="s">
        <v>201</v>
      </c>
      <c r="F57" s="13"/>
      <c r="G57" s="63"/>
      <c r="H57" s="11"/>
      <c r="I57" s="7"/>
      <c r="L57" s="54"/>
      <c r="M57" s="54"/>
    </row>
    <row r="58" ht="15.75" customHeight="1">
      <c r="A58" s="8">
        <v>55.0</v>
      </c>
      <c r="B58" s="42" t="s">
        <v>143</v>
      </c>
      <c r="C58" s="43">
        <v>4000.0</v>
      </c>
      <c r="D58" s="43" t="s">
        <v>201</v>
      </c>
      <c r="F58" s="13"/>
      <c r="G58" s="63"/>
      <c r="H58" s="8"/>
      <c r="I58" s="7"/>
    </row>
    <row r="59" ht="15.75" customHeight="1">
      <c r="A59" s="8">
        <v>56.0</v>
      </c>
      <c r="B59" s="42" t="s">
        <v>144</v>
      </c>
      <c r="C59" s="43">
        <v>4000.0</v>
      </c>
      <c r="D59" s="43" t="s">
        <v>201</v>
      </c>
      <c r="F59" s="13"/>
      <c r="G59" s="63"/>
      <c r="H59" s="8"/>
      <c r="I59" s="7"/>
    </row>
    <row r="60" ht="15.75" customHeight="1">
      <c r="A60" s="8">
        <v>57.0</v>
      </c>
      <c r="B60" s="42" t="s">
        <v>145</v>
      </c>
      <c r="C60" s="43">
        <v>4000.0</v>
      </c>
      <c r="D60" s="43" t="s">
        <v>201</v>
      </c>
      <c r="F60" s="13"/>
      <c r="G60" s="63"/>
      <c r="H60" s="8"/>
      <c r="I60" s="7"/>
    </row>
    <row r="61" ht="15.75" customHeight="1">
      <c r="A61" s="8">
        <v>58.0</v>
      </c>
      <c r="B61" s="42" t="s">
        <v>146</v>
      </c>
      <c r="C61" s="43">
        <v>4000.0</v>
      </c>
      <c r="D61" s="43" t="s">
        <v>201</v>
      </c>
      <c r="F61" s="13"/>
      <c r="G61" s="63"/>
      <c r="H61" s="8"/>
      <c r="I61" s="7"/>
      <c r="M61" s="64" t="s">
        <v>153</v>
      </c>
      <c r="N61" s="64">
        <f>24000/35</f>
        <v>685.7142857</v>
      </c>
    </row>
    <row r="62" ht="15.75" customHeight="1">
      <c r="A62" s="8">
        <v>59.0</v>
      </c>
      <c r="B62" s="42" t="s">
        <v>151</v>
      </c>
      <c r="C62" s="43">
        <v>0.0</v>
      </c>
      <c r="D62" s="43"/>
      <c r="F62" s="13"/>
      <c r="G62" s="63"/>
      <c r="H62" s="8"/>
      <c r="I62" s="7"/>
      <c r="N62" s="65">
        <f>12000/35</f>
        <v>342.8571429</v>
      </c>
    </row>
    <row r="63" ht="15.75" customHeight="1">
      <c r="N63" s="65">
        <f>2000/35</f>
        <v>57.14285714</v>
      </c>
      <c r="O63" s="54"/>
      <c r="P63" s="55"/>
    </row>
    <row r="64" ht="15.75" customHeight="1">
      <c r="A64" s="5"/>
      <c r="B64" s="66" t="s">
        <v>119</v>
      </c>
      <c r="C64" s="66">
        <f>SUM(C4:C62)</f>
        <v>232000</v>
      </c>
      <c r="D64" s="5"/>
      <c r="E64" s="5"/>
      <c r="F64" s="5"/>
      <c r="G64" s="66" t="s">
        <v>119</v>
      </c>
      <c r="H64" s="66">
        <f>SUM(H4:H62)</f>
        <v>268644</v>
      </c>
      <c r="I64" s="5"/>
      <c r="O64" s="54"/>
      <c r="P64" s="55"/>
    </row>
    <row r="65" ht="15.75" customHeight="1">
      <c r="O65" s="54"/>
      <c r="P65" s="55"/>
    </row>
    <row r="66" ht="15.75" customHeight="1">
      <c r="G66" s="67" t="s">
        <v>157</v>
      </c>
      <c r="H66" s="2">
        <f>C64-H64</f>
        <v>-36644</v>
      </c>
      <c r="M66" s="65">
        <f>4000-M69</f>
        <v>61.5</v>
      </c>
      <c r="N66" s="65">
        <f>M66*L67</f>
        <v>3321</v>
      </c>
      <c r="O66" s="54"/>
      <c r="P66" s="55"/>
    </row>
    <row r="67" ht="14.25" customHeight="1">
      <c r="G67" s="68" t="s">
        <v>158</v>
      </c>
      <c r="H67" s="2">
        <f>H4</f>
        <v>20000</v>
      </c>
      <c r="K67" s="65">
        <f>K69*L67</f>
        <v>41090</v>
      </c>
      <c r="L67" s="64">
        <v>54.0</v>
      </c>
    </row>
    <row r="68" ht="15.75" customHeight="1">
      <c r="G68" s="69" t="s">
        <v>159</v>
      </c>
      <c r="H68" s="2">
        <f>H66+H67</f>
        <v>-16644</v>
      </c>
      <c r="J68" s="70" t="s">
        <v>160</v>
      </c>
      <c r="K68" s="70" t="s">
        <v>161</v>
      </c>
      <c r="L68" s="70" t="s">
        <v>162</v>
      </c>
      <c r="M68" s="71" t="s">
        <v>163</v>
      </c>
      <c r="N68" s="71" t="s">
        <v>164</v>
      </c>
    </row>
    <row r="69" ht="15.75" customHeight="1">
      <c r="J69" s="72" t="s">
        <v>119</v>
      </c>
      <c r="K69" s="75">
        <f>sum(K70:K80)</f>
        <v>760.9259259</v>
      </c>
      <c r="L69" s="102">
        <f>K69*L67</f>
        <v>41090</v>
      </c>
      <c r="M69" s="75">
        <f t="shared" ref="M69:N69" si="1">sum(M70:M80)</f>
        <v>3938.5</v>
      </c>
      <c r="N69" s="75">
        <f t="shared" si="1"/>
        <v>183129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J70" s="76" t="s">
        <v>165</v>
      </c>
      <c r="K70" s="80"/>
      <c r="L70" s="102">
        <f>M70*L67</f>
        <v>172800</v>
      </c>
      <c r="M70" s="76">
        <v>3200.0</v>
      </c>
      <c r="N70" s="77">
        <v>112000.0</v>
      </c>
    </row>
    <row r="71" ht="15.75" customHeight="1">
      <c r="J71" s="78" t="s">
        <v>156</v>
      </c>
      <c r="K71" s="79">
        <v>210.0</v>
      </c>
      <c r="L71" s="102">
        <f>K71*L67</f>
        <v>11340</v>
      </c>
      <c r="N71" s="77">
        <v>7000.0</v>
      </c>
      <c r="O71" s="54"/>
    </row>
    <row r="72" ht="15.75" customHeight="1">
      <c r="J72" s="76" t="s">
        <v>139</v>
      </c>
      <c r="K72" s="80"/>
      <c r="L72" s="102">
        <f>M72*L67</f>
        <v>8100</v>
      </c>
      <c r="M72" s="76">
        <v>150.0</v>
      </c>
      <c r="N72" s="77">
        <v>5250.0</v>
      </c>
    </row>
    <row r="73" ht="15.75" customHeight="1">
      <c r="J73" s="76" t="s">
        <v>151</v>
      </c>
      <c r="K73" s="80"/>
      <c r="L73" s="102">
        <f>M73*L67</f>
        <v>2511</v>
      </c>
      <c r="M73" s="76">
        <v>46.5</v>
      </c>
      <c r="N73" s="77">
        <f>L73</f>
        <v>2511</v>
      </c>
    </row>
    <row r="74" ht="15.75" customHeight="1">
      <c r="J74" s="76" t="s">
        <v>169</v>
      </c>
      <c r="K74" s="80"/>
      <c r="L74" s="102">
        <f>K74*35</f>
        <v>0</v>
      </c>
      <c r="M74" s="81" t="str">
        <f>K74</f>
        <v/>
      </c>
      <c r="P74" s="82"/>
    </row>
    <row r="75" ht="15.75" customHeight="1">
      <c r="J75" s="78" t="s">
        <v>153</v>
      </c>
      <c r="K75" s="76">
        <f>L75/L67</f>
        <v>277.7777778</v>
      </c>
      <c r="L75" s="83">
        <v>15000.0</v>
      </c>
      <c r="N75" s="80">
        <f>L75</f>
        <v>15000</v>
      </c>
      <c r="P75" s="82"/>
    </row>
    <row r="76" ht="15.75" customHeight="1">
      <c r="J76" s="76" t="s">
        <v>171</v>
      </c>
      <c r="K76" s="80"/>
      <c r="L76" s="102">
        <f>K76*35</f>
        <v>0</v>
      </c>
      <c r="M76" s="76">
        <v>542.0</v>
      </c>
      <c r="N76" s="77">
        <f>M76*L67</f>
        <v>29268</v>
      </c>
      <c r="P76" s="82"/>
    </row>
    <row r="77" ht="15.75" customHeight="1">
      <c r="J77" s="78" t="s">
        <v>140</v>
      </c>
      <c r="K77" s="79">
        <v>150.0</v>
      </c>
      <c r="L77" s="102">
        <f>K77*L67</f>
        <v>8100</v>
      </c>
      <c r="N77" s="77">
        <f>L77</f>
        <v>8100</v>
      </c>
    </row>
    <row r="78" ht="15.75" customHeight="1">
      <c r="J78" s="78" t="s">
        <v>172</v>
      </c>
      <c r="K78" s="76">
        <f>L78/L67</f>
        <v>0</v>
      </c>
      <c r="L78" s="83">
        <v>0.0</v>
      </c>
      <c r="N78" s="77"/>
    </row>
    <row r="79" ht="15.75" customHeight="1">
      <c r="J79" s="78" t="s">
        <v>138</v>
      </c>
      <c r="K79" s="76">
        <f>L79/L67</f>
        <v>60.18518519</v>
      </c>
      <c r="L79" s="83">
        <v>3250.0</v>
      </c>
      <c r="N79" s="76">
        <v>2500.0</v>
      </c>
    </row>
    <row r="80" ht="15.75" customHeight="1">
      <c r="J80" s="78" t="s">
        <v>147</v>
      </c>
      <c r="K80" s="76">
        <f>L80/L67</f>
        <v>62.96296296</v>
      </c>
      <c r="L80" s="83">
        <v>3400.0</v>
      </c>
      <c r="N80" s="76">
        <v>1500.0</v>
      </c>
    </row>
    <row r="81" ht="15.75" customHeight="1"/>
    <row r="82" ht="15.75" customHeight="1">
      <c r="O82" s="54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3">
    <mergeCell ref="A1:I1"/>
    <mergeCell ref="A2:D2"/>
    <mergeCell ref="F2:I2"/>
  </mergeCells>
  <dataValidations>
    <dataValidation type="custom" allowBlank="1" showDropDown="1" sqref="K69:L80">
      <formula1>AND(ISNUMBER(K69),(NOT(OR(NOT(ISERROR(DATEVALUE(K69))), AND(ISNUMBER(K69), LEFT(CELL("format", K69))="D")))))</formula1>
    </dataValidation>
  </dataValidation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3"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7.63"/>
    <col customWidth="1" min="9" max="9" width="17.63"/>
    <col customWidth="1" min="11" max="11" width="17.13"/>
    <col customWidth="1" min="15" max="15" width="20.13"/>
  </cols>
  <sheetData>
    <row r="1" ht="15.75" customHeight="1">
      <c r="A1" s="33" t="s">
        <v>413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42" t="s">
        <v>11</v>
      </c>
      <c r="C4" s="86">
        <v>5250.0</v>
      </c>
      <c r="D4" s="8"/>
      <c r="F4" s="45">
        <v>45680.0</v>
      </c>
      <c r="G4" s="88" t="s">
        <v>175</v>
      </c>
      <c r="H4" s="47">
        <v>10000.0</v>
      </c>
      <c r="I4" s="16" t="s">
        <v>132</v>
      </c>
    </row>
    <row r="5" ht="15.75" customHeight="1">
      <c r="A5" s="8">
        <v>2.0</v>
      </c>
      <c r="B5" s="42" t="s">
        <v>36</v>
      </c>
      <c r="C5" s="86">
        <v>5250.0</v>
      </c>
      <c r="D5" s="98"/>
      <c r="F5" s="45">
        <v>45711.0</v>
      </c>
      <c r="G5" s="7" t="s">
        <v>289</v>
      </c>
      <c r="H5" s="11">
        <v>80000.0</v>
      </c>
      <c r="I5" s="16" t="s">
        <v>361</v>
      </c>
    </row>
    <row r="6" ht="15.75" customHeight="1">
      <c r="A6" s="8">
        <v>3.0</v>
      </c>
      <c r="B6" s="42" t="s">
        <v>52</v>
      </c>
      <c r="C6" s="86">
        <v>5250.0</v>
      </c>
      <c r="D6" s="8"/>
      <c r="F6" s="45">
        <v>45712.0</v>
      </c>
      <c r="G6" s="63" t="s">
        <v>414</v>
      </c>
      <c r="H6" s="11">
        <v>4500.0</v>
      </c>
      <c r="I6" s="16" t="s">
        <v>361</v>
      </c>
      <c r="J6" s="49"/>
    </row>
    <row r="7" ht="15.75" customHeight="1">
      <c r="A7" s="8">
        <v>4.0</v>
      </c>
      <c r="B7" s="42" t="s">
        <v>269</v>
      </c>
      <c r="C7" s="86">
        <v>5250.0</v>
      </c>
      <c r="D7" s="8"/>
      <c r="F7" s="45">
        <v>45709.0</v>
      </c>
      <c r="G7" s="50" t="s">
        <v>139</v>
      </c>
      <c r="H7" s="51">
        <v>2500.0</v>
      </c>
      <c r="I7" s="16" t="s">
        <v>361</v>
      </c>
      <c r="J7" s="52"/>
    </row>
    <row r="8" ht="15.75" customHeight="1">
      <c r="A8" s="8">
        <v>5.0</v>
      </c>
      <c r="B8" s="42" t="s">
        <v>49</v>
      </c>
      <c r="C8" s="86">
        <v>5250.0</v>
      </c>
      <c r="D8" s="8"/>
      <c r="F8" s="45">
        <v>45712.0</v>
      </c>
      <c r="G8" s="53" t="s">
        <v>415</v>
      </c>
      <c r="H8" s="51">
        <v>4750.0</v>
      </c>
      <c r="I8" s="16" t="s">
        <v>361</v>
      </c>
      <c r="O8" s="54"/>
      <c r="P8" s="55"/>
    </row>
    <row r="9" ht="15.75" customHeight="1">
      <c r="A9" s="8">
        <v>6.0</v>
      </c>
      <c r="B9" s="42" t="s">
        <v>15</v>
      </c>
      <c r="C9" s="86">
        <v>5250.0</v>
      </c>
      <c r="D9" s="8"/>
      <c r="F9" s="45">
        <v>45712.0</v>
      </c>
      <c r="G9" s="53" t="s">
        <v>416</v>
      </c>
      <c r="H9" s="51">
        <v>4750.0</v>
      </c>
      <c r="I9" s="16" t="s">
        <v>361</v>
      </c>
      <c r="J9" s="52"/>
      <c r="L9" s="62"/>
      <c r="M9" s="62"/>
    </row>
    <row r="10" ht="15.75" customHeight="1">
      <c r="A10" s="8">
        <v>7.0</v>
      </c>
      <c r="B10" s="42" t="s">
        <v>193</v>
      </c>
      <c r="C10" s="86">
        <v>5250.0</v>
      </c>
      <c r="D10" s="8"/>
      <c r="F10" s="45">
        <v>45712.0</v>
      </c>
      <c r="G10" s="53" t="s">
        <v>417</v>
      </c>
      <c r="H10" s="51">
        <v>4750.0</v>
      </c>
      <c r="I10" s="16" t="s">
        <v>361</v>
      </c>
      <c r="J10" s="57"/>
      <c r="L10" s="62"/>
      <c r="M10" s="62"/>
    </row>
    <row r="11" ht="15.75" customHeight="1">
      <c r="A11" s="8">
        <v>8.0</v>
      </c>
      <c r="B11" s="42" t="s">
        <v>240</v>
      </c>
      <c r="C11" s="86">
        <v>5250.0</v>
      </c>
      <c r="D11" s="8"/>
      <c r="F11" s="45">
        <v>45712.0</v>
      </c>
      <c r="G11" s="53" t="s">
        <v>418</v>
      </c>
      <c r="H11" s="51">
        <v>4750.0</v>
      </c>
      <c r="I11" s="16" t="s">
        <v>361</v>
      </c>
      <c r="J11" s="57"/>
      <c r="L11" s="62"/>
      <c r="M11" s="62"/>
    </row>
    <row r="12" ht="15.75" customHeight="1">
      <c r="A12" s="8">
        <v>9.0</v>
      </c>
      <c r="B12" s="42" t="s">
        <v>89</v>
      </c>
      <c r="C12" s="86">
        <v>5250.0</v>
      </c>
      <c r="D12" s="8"/>
      <c r="F12" s="45">
        <v>45712.0</v>
      </c>
      <c r="G12" s="53" t="s">
        <v>419</v>
      </c>
      <c r="H12" s="51">
        <v>4750.0</v>
      </c>
      <c r="I12" s="16" t="s">
        <v>361</v>
      </c>
      <c r="L12" s="62"/>
      <c r="M12" s="62"/>
    </row>
    <row r="13" ht="15.75" customHeight="1">
      <c r="A13" s="8">
        <v>10.0</v>
      </c>
      <c r="B13" s="42" t="s">
        <v>357</v>
      </c>
      <c r="C13" s="86">
        <v>5250.0</v>
      </c>
      <c r="D13" s="8"/>
      <c r="F13" s="45">
        <v>45712.0</v>
      </c>
      <c r="G13" s="53" t="s">
        <v>349</v>
      </c>
      <c r="H13" s="51">
        <v>4750.0</v>
      </c>
      <c r="I13" s="16" t="s">
        <v>361</v>
      </c>
      <c r="L13" s="62"/>
      <c r="M13" s="62"/>
    </row>
    <row r="14" ht="15.75" customHeight="1">
      <c r="A14" s="8">
        <v>11.0</v>
      </c>
      <c r="B14" s="42" t="s">
        <v>203</v>
      </c>
      <c r="C14" s="86">
        <v>5250.0</v>
      </c>
      <c r="D14" s="8"/>
      <c r="F14" s="45">
        <v>45712.0</v>
      </c>
      <c r="G14" s="53" t="s">
        <v>380</v>
      </c>
      <c r="H14" s="51">
        <v>4750.0</v>
      </c>
      <c r="I14" s="16" t="s">
        <v>361</v>
      </c>
      <c r="L14" s="62"/>
      <c r="M14" s="62"/>
    </row>
    <row r="15" ht="15.75" customHeight="1">
      <c r="A15" s="90">
        <v>12.0</v>
      </c>
      <c r="B15" s="42" t="s">
        <v>208</v>
      </c>
      <c r="C15" s="86">
        <v>5250.0</v>
      </c>
      <c r="D15" s="8"/>
      <c r="F15" s="13"/>
      <c r="G15" s="63"/>
      <c r="H15" s="8"/>
      <c r="I15" s="7"/>
      <c r="L15" s="62"/>
      <c r="M15" s="62"/>
    </row>
    <row r="16" ht="15.75" customHeight="1">
      <c r="A16" s="90">
        <v>13.0</v>
      </c>
      <c r="B16" s="42" t="s">
        <v>420</v>
      </c>
      <c r="C16" s="86">
        <v>5250.0</v>
      </c>
      <c r="D16" s="8"/>
      <c r="F16" s="13"/>
      <c r="G16" s="63"/>
      <c r="H16" s="8"/>
      <c r="I16" s="7"/>
      <c r="L16" s="62"/>
      <c r="M16" s="62"/>
    </row>
    <row r="17" ht="15.75" customHeight="1">
      <c r="A17" s="90">
        <v>14.0</v>
      </c>
      <c r="B17" s="42" t="s">
        <v>421</v>
      </c>
      <c r="C17" s="86">
        <v>5250.0</v>
      </c>
      <c r="D17" s="8"/>
      <c r="F17" s="13"/>
      <c r="G17" s="63"/>
      <c r="H17" s="8"/>
      <c r="I17" s="7"/>
      <c r="L17" s="62"/>
      <c r="M17" s="62"/>
    </row>
    <row r="18" ht="15.75" customHeight="1">
      <c r="A18" s="90">
        <v>15.0</v>
      </c>
      <c r="B18" s="42" t="s">
        <v>355</v>
      </c>
      <c r="C18" s="86">
        <v>5250.0</v>
      </c>
      <c r="D18" s="8"/>
      <c r="F18" s="13"/>
      <c r="G18" s="63"/>
      <c r="H18" s="8"/>
      <c r="I18" s="7"/>
      <c r="L18" s="62"/>
      <c r="M18" s="62"/>
    </row>
    <row r="19" ht="15.75" customHeight="1">
      <c r="A19" s="90">
        <v>16.0</v>
      </c>
      <c r="B19" s="42" t="s">
        <v>229</v>
      </c>
      <c r="C19" s="86">
        <v>5250.0</v>
      </c>
      <c r="D19" s="8"/>
      <c r="F19" s="13"/>
      <c r="G19" s="63"/>
      <c r="H19" s="8"/>
      <c r="I19" s="7"/>
      <c r="L19" s="62"/>
      <c r="M19" s="62"/>
    </row>
    <row r="20" ht="15.75" customHeight="1">
      <c r="A20" s="90">
        <v>17.0</v>
      </c>
      <c r="B20" s="42" t="s">
        <v>391</v>
      </c>
      <c r="C20" s="86">
        <v>5250.0</v>
      </c>
      <c r="D20" s="8"/>
      <c r="F20" s="13"/>
      <c r="G20" s="63"/>
      <c r="H20" s="8"/>
      <c r="I20" s="7"/>
      <c r="L20" s="62"/>
      <c r="M20" s="62"/>
    </row>
    <row r="21" ht="15.75" customHeight="1">
      <c r="A21" s="90">
        <v>18.0</v>
      </c>
      <c r="B21" s="42" t="s">
        <v>253</v>
      </c>
      <c r="C21" s="86">
        <v>5250.0</v>
      </c>
      <c r="D21" s="8"/>
      <c r="F21" s="13"/>
      <c r="G21" s="63"/>
      <c r="H21" s="8"/>
      <c r="I21" s="7"/>
      <c r="L21" s="62"/>
      <c r="M21" s="62"/>
    </row>
    <row r="22" ht="15.75" customHeight="1">
      <c r="A22" s="92">
        <v>19.0</v>
      </c>
      <c r="B22" s="42" t="s">
        <v>303</v>
      </c>
      <c r="C22" s="86">
        <v>5250.0</v>
      </c>
      <c r="D22" s="8"/>
      <c r="F22" s="13"/>
      <c r="G22" s="63"/>
      <c r="H22" s="8"/>
      <c r="I22" s="7"/>
      <c r="L22" s="62"/>
      <c r="M22" s="62"/>
    </row>
    <row r="23" ht="15.75" customHeight="1">
      <c r="A23" s="92">
        <v>20.0</v>
      </c>
      <c r="B23" s="42" t="s">
        <v>182</v>
      </c>
      <c r="C23" s="86">
        <v>5250.0</v>
      </c>
      <c r="D23" s="8"/>
      <c r="F23" s="13"/>
      <c r="G23" s="63"/>
      <c r="H23" s="8"/>
      <c r="I23" s="7"/>
      <c r="L23" s="62"/>
      <c r="M23" s="62"/>
    </row>
    <row r="24" ht="15.75" customHeight="1">
      <c r="A24" s="92">
        <v>21.0</v>
      </c>
      <c r="B24" s="42" t="s">
        <v>383</v>
      </c>
      <c r="C24" s="86">
        <v>0.0</v>
      </c>
      <c r="D24" s="8"/>
      <c r="F24" s="13"/>
      <c r="G24" s="63"/>
      <c r="H24" s="8"/>
      <c r="I24" s="7"/>
      <c r="L24" s="62"/>
      <c r="M24" s="62"/>
    </row>
    <row r="25" ht="15.75" customHeight="1">
      <c r="A25" s="90"/>
      <c r="B25" s="42" t="s">
        <v>248</v>
      </c>
      <c r="C25" s="86">
        <v>5250.0</v>
      </c>
      <c r="D25" s="11" t="s">
        <v>201</v>
      </c>
      <c r="F25" s="13"/>
      <c r="G25" s="63"/>
      <c r="H25" s="11"/>
      <c r="I25" s="7"/>
      <c r="L25" s="54"/>
      <c r="M25" s="54"/>
    </row>
    <row r="26" ht="15.75" customHeight="1">
      <c r="A26" s="90"/>
      <c r="B26" s="42" t="s">
        <v>188</v>
      </c>
      <c r="C26" s="86">
        <v>5250.0</v>
      </c>
      <c r="D26" s="11" t="s">
        <v>201</v>
      </c>
      <c r="F26" s="13"/>
      <c r="G26" s="63"/>
      <c r="H26" s="8"/>
      <c r="I26" s="7"/>
    </row>
    <row r="27" ht="15.75" customHeight="1">
      <c r="A27" s="90"/>
      <c r="B27" s="42" t="s">
        <v>191</v>
      </c>
      <c r="C27" s="86">
        <v>5250.0</v>
      </c>
      <c r="D27" s="11" t="s">
        <v>201</v>
      </c>
      <c r="F27" s="13"/>
      <c r="G27" s="63"/>
      <c r="H27" s="8"/>
      <c r="I27" s="7"/>
    </row>
    <row r="28" ht="15.75" customHeight="1">
      <c r="A28" s="90"/>
      <c r="B28" s="42" t="s">
        <v>198</v>
      </c>
      <c r="C28" s="86">
        <v>5250.0</v>
      </c>
      <c r="D28" s="11" t="s">
        <v>201</v>
      </c>
      <c r="F28" s="13"/>
      <c r="G28" s="63"/>
      <c r="H28" s="8"/>
      <c r="I28" s="7"/>
    </row>
    <row r="29" ht="15.75" customHeight="1">
      <c r="A29" s="90"/>
      <c r="B29" s="42" t="s">
        <v>422</v>
      </c>
      <c r="C29" s="86">
        <v>5250.0</v>
      </c>
      <c r="D29" s="11" t="s">
        <v>201</v>
      </c>
      <c r="F29" s="13"/>
      <c r="G29" s="63"/>
      <c r="H29" s="8"/>
      <c r="I29" s="7"/>
      <c r="O29" s="54"/>
      <c r="P29" s="55"/>
    </row>
    <row r="30" ht="15.75" customHeight="1">
      <c r="A30" s="90"/>
      <c r="B30" s="42" t="s">
        <v>227</v>
      </c>
      <c r="C30" s="86">
        <v>5250.0</v>
      </c>
      <c r="D30" s="11" t="s">
        <v>201</v>
      </c>
      <c r="F30" s="13"/>
      <c r="G30" s="63"/>
      <c r="H30" s="8"/>
      <c r="I30" s="7"/>
      <c r="O30" s="54"/>
      <c r="P30" s="55"/>
    </row>
    <row r="31" ht="15.75" customHeight="1">
      <c r="A31" s="90"/>
      <c r="B31" s="42" t="s">
        <v>274</v>
      </c>
      <c r="C31" s="86">
        <v>5250.0</v>
      </c>
      <c r="D31" s="11" t="s">
        <v>201</v>
      </c>
      <c r="F31" s="13"/>
      <c r="G31" s="63"/>
      <c r="H31" s="8"/>
      <c r="I31" s="7"/>
      <c r="O31" s="54"/>
      <c r="P31" s="55"/>
    </row>
    <row r="32" ht="15.75" customHeight="1">
      <c r="A32" s="90"/>
      <c r="B32" s="42"/>
      <c r="C32" s="86"/>
      <c r="D32" s="11"/>
      <c r="F32" s="13"/>
      <c r="G32" s="63"/>
      <c r="H32" s="8"/>
      <c r="I32" s="7"/>
      <c r="O32" s="54"/>
      <c r="P32" s="55"/>
    </row>
    <row r="33" ht="15.75" customHeight="1">
      <c r="A33" s="90"/>
      <c r="B33" s="42"/>
      <c r="C33" s="86"/>
      <c r="D33" s="8"/>
      <c r="F33" s="13"/>
      <c r="G33" s="63"/>
      <c r="H33" s="8"/>
      <c r="I33" s="7"/>
    </row>
    <row r="34" ht="15.75" customHeight="1"/>
    <row r="35" ht="15.75" customHeight="1">
      <c r="A35" s="5"/>
      <c r="B35" s="66" t="s">
        <v>119</v>
      </c>
      <c r="C35" s="66">
        <f>SUM(C4:C33)</f>
        <v>141750</v>
      </c>
      <c r="D35" s="5"/>
      <c r="E35" s="5"/>
      <c r="F35" s="5"/>
      <c r="G35" s="66" t="s">
        <v>119</v>
      </c>
      <c r="H35" s="66">
        <f>SUM(H4:H33)</f>
        <v>130250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/>
    <row r="37" ht="15.75" customHeight="1">
      <c r="G37" s="67" t="s">
        <v>157</v>
      </c>
      <c r="H37" s="2">
        <f>C35-H35</f>
        <v>11500</v>
      </c>
      <c r="O37" s="54"/>
    </row>
    <row r="38" ht="15.75" customHeight="1">
      <c r="G38" s="68" t="s">
        <v>158</v>
      </c>
      <c r="H38" s="2">
        <f>H4</f>
        <v>10000</v>
      </c>
    </row>
    <row r="39" ht="15.75" customHeight="1">
      <c r="G39" s="69" t="s">
        <v>373</v>
      </c>
      <c r="H39" s="2">
        <f>H37+H38</f>
        <v>21500</v>
      </c>
    </row>
    <row r="40" ht="15.75" customHeight="1">
      <c r="P40" s="82"/>
    </row>
    <row r="41" ht="15.75" customHeight="1">
      <c r="P41" s="82"/>
    </row>
    <row r="42" ht="15.75" customHeight="1">
      <c r="P42" s="8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O48" s="5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4.0"/>
    <col customWidth="1" min="9" max="9" width="13.63"/>
    <col customWidth="1" min="11" max="11" width="17.13"/>
    <col customWidth="1" min="15" max="15" width="20.13"/>
  </cols>
  <sheetData>
    <row r="1" ht="15.75" customHeight="1">
      <c r="A1" s="33" t="s">
        <v>423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42" t="s">
        <v>11</v>
      </c>
      <c r="C4" s="86">
        <v>6800.0</v>
      </c>
      <c r="D4" s="8"/>
      <c r="F4" s="45">
        <v>45595.0</v>
      </c>
      <c r="G4" s="88" t="s">
        <v>175</v>
      </c>
      <c r="H4" s="47">
        <v>20000.0</v>
      </c>
      <c r="I4" s="16" t="s">
        <v>424</v>
      </c>
    </row>
    <row r="5" ht="15.75" customHeight="1">
      <c r="A5" s="8">
        <v>2.0</v>
      </c>
      <c r="B5" s="42" t="s">
        <v>36</v>
      </c>
      <c r="C5" s="86">
        <v>6800.0</v>
      </c>
      <c r="D5" s="98"/>
      <c r="F5" s="45">
        <v>45676.0</v>
      </c>
      <c r="G5" s="7" t="s">
        <v>289</v>
      </c>
      <c r="H5" s="11">
        <v>88000.0</v>
      </c>
      <c r="I5" s="16" t="s">
        <v>176</v>
      </c>
    </row>
    <row r="6" ht="15.75" customHeight="1">
      <c r="A6" s="8">
        <v>3.0</v>
      </c>
      <c r="B6" s="42" t="s">
        <v>269</v>
      </c>
      <c r="C6" s="86">
        <v>6800.0</v>
      </c>
      <c r="D6" s="8"/>
      <c r="F6" s="45">
        <v>45677.0</v>
      </c>
      <c r="G6" s="63" t="s">
        <v>414</v>
      </c>
      <c r="H6" s="11">
        <v>6000.0</v>
      </c>
      <c r="I6" s="16" t="s">
        <v>176</v>
      </c>
      <c r="J6" s="49"/>
    </row>
    <row r="7" ht="15.75" customHeight="1">
      <c r="A7" s="8">
        <v>4.0</v>
      </c>
      <c r="B7" s="42" t="s">
        <v>49</v>
      </c>
      <c r="C7" s="86">
        <v>6800.0</v>
      </c>
      <c r="D7" s="8"/>
      <c r="F7" s="45">
        <v>45677.0</v>
      </c>
      <c r="G7" s="50" t="s">
        <v>150</v>
      </c>
      <c r="H7" s="51">
        <v>8000.0</v>
      </c>
      <c r="I7" s="16" t="s">
        <v>176</v>
      </c>
      <c r="J7" s="52" t="s">
        <v>425</v>
      </c>
      <c r="K7" s="64" t="s">
        <v>426</v>
      </c>
    </row>
    <row r="8" ht="15.75" customHeight="1">
      <c r="A8" s="8">
        <v>5.0</v>
      </c>
      <c r="B8" s="42" t="s">
        <v>193</v>
      </c>
      <c r="C8" s="86">
        <v>6800.0</v>
      </c>
      <c r="D8" s="8"/>
      <c r="F8" s="45">
        <v>45677.0</v>
      </c>
      <c r="G8" s="53" t="s">
        <v>427</v>
      </c>
      <c r="H8" s="51">
        <v>4400.0</v>
      </c>
      <c r="I8" s="16" t="s">
        <v>176</v>
      </c>
      <c r="O8" s="54"/>
      <c r="P8" s="55"/>
    </row>
    <row r="9" ht="15.75" customHeight="1">
      <c r="A9" s="8">
        <v>6.0</v>
      </c>
      <c r="B9" s="42" t="s">
        <v>52</v>
      </c>
      <c r="C9" s="86">
        <v>6800.0</v>
      </c>
      <c r="D9" s="8"/>
      <c r="F9" s="45">
        <v>45677.0</v>
      </c>
      <c r="G9" s="53" t="s">
        <v>428</v>
      </c>
      <c r="H9" s="51">
        <v>4400.0</v>
      </c>
      <c r="I9" s="16" t="s">
        <v>176</v>
      </c>
      <c r="J9" s="52"/>
      <c r="L9" s="62"/>
      <c r="M9" s="62"/>
    </row>
    <row r="10" ht="15.75" customHeight="1">
      <c r="A10" s="8">
        <v>7.0</v>
      </c>
      <c r="B10" s="42" t="s">
        <v>89</v>
      </c>
      <c r="C10" s="86">
        <v>6800.0</v>
      </c>
      <c r="D10" s="8"/>
      <c r="F10" s="45">
        <v>45677.0</v>
      </c>
      <c r="G10" s="53" t="s">
        <v>429</v>
      </c>
      <c r="H10" s="51">
        <v>4400.0</v>
      </c>
      <c r="I10" s="16" t="s">
        <v>176</v>
      </c>
      <c r="J10" s="57"/>
      <c r="L10" s="62"/>
      <c r="M10" s="62"/>
    </row>
    <row r="11" ht="15.75" customHeight="1">
      <c r="A11" s="8">
        <v>8.0</v>
      </c>
      <c r="B11" s="42" t="s">
        <v>229</v>
      </c>
      <c r="C11" s="86">
        <v>6800.0</v>
      </c>
      <c r="D11" s="8"/>
      <c r="F11" s="45"/>
      <c r="G11" s="103"/>
      <c r="H11" s="51"/>
      <c r="I11" s="16"/>
      <c r="J11" s="57"/>
      <c r="L11" s="62"/>
      <c r="M11" s="62"/>
    </row>
    <row r="12" ht="15.75" customHeight="1">
      <c r="A12" s="8">
        <v>9.0</v>
      </c>
      <c r="B12" s="42" t="s">
        <v>420</v>
      </c>
      <c r="C12" s="86">
        <v>6800.0</v>
      </c>
      <c r="D12" s="8"/>
      <c r="F12" s="13"/>
      <c r="G12" s="53"/>
      <c r="H12" s="11"/>
      <c r="I12" s="7"/>
      <c r="L12" s="62"/>
      <c r="M12" s="62"/>
    </row>
    <row r="13" ht="15.75" customHeight="1">
      <c r="A13" s="8">
        <v>10.0</v>
      </c>
      <c r="B13" s="42" t="s">
        <v>208</v>
      </c>
      <c r="C13" s="86">
        <v>6800.0</v>
      </c>
      <c r="D13" s="8"/>
      <c r="F13" s="13"/>
      <c r="G13" s="63"/>
      <c r="H13" s="8"/>
      <c r="I13" s="7"/>
      <c r="L13" s="62"/>
      <c r="M13" s="62"/>
    </row>
    <row r="14" ht="15.75" customHeight="1">
      <c r="A14" s="8">
        <v>11.0</v>
      </c>
      <c r="B14" s="42" t="s">
        <v>203</v>
      </c>
      <c r="C14" s="86">
        <v>6800.0</v>
      </c>
      <c r="D14" s="8"/>
      <c r="F14" s="13"/>
      <c r="G14" s="63"/>
      <c r="H14" s="8"/>
      <c r="I14" s="7"/>
      <c r="L14" s="62"/>
      <c r="M14" s="62"/>
    </row>
    <row r="15" ht="15.75" customHeight="1">
      <c r="A15" s="90">
        <v>12.0</v>
      </c>
      <c r="B15" s="42" t="s">
        <v>430</v>
      </c>
      <c r="C15" s="86">
        <v>6800.0</v>
      </c>
      <c r="D15" s="8"/>
      <c r="F15" s="13"/>
      <c r="G15" s="63"/>
      <c r="H15" s="11"/>
      <c r="I15" s="7"/>
      <c r="L15" s="54"/>
      <c r="M15" s="54"/>
    </row>
    <row r="16" ht="15.75" customHeight="1">
      <c r="A16" s="90">
        <v>13.0</v>
      </c>
      <c r="B16" s="42" t="s">
        <v>325</v>
      </c>
      <c r="C16" s="86">
        <v>6800.0</v>
      </c>
      <c r="D16" s="98"/>
      <c r="F16" s="13"/>
      <c r="G16" s="63"/>
      <c r="H16" s="8"/>
      <c r="I16" s="7"/>
    </row>
    <row r="17" ht="15.75" customHeight="1">
      <c r="A17" s="90">
        <v>14.0</v>
      </c>
      <c r="B17" s="42" t="s">
        <v>357</v>
      </c>
      <c r="C17" s="86">
        <v>6800.0</v>
      </c>
      <c r="D17" s="8"/>
      <c r="F17" s="13"/>
      <c r="G17" s="63"/>
      <c r="H17" s="8"/>
      <c r="I17" s="7"/>
    </row>
    <row r="18" ht="15.75" customHeight="1">
      <c r="A18" s="90">
        <v>15.0</v>
      </c>
      <c r="B18" s="42" t="s">
        <v>431</v>
      </c>
      <c r="C18" s="86">
        <v>6800.0</v>
      </c>
      <c r="D18" s="98"/>
      <c r="F18" s="13"/>
      <c r="G18" s="63"/>
      <c r="H18" s="8"/>
      <c r="I18" s="7"/>
    </row>
    <row r="19" ht="15.75" customHeight="1">
      <c r="A19" s="90">
        <v>16.0</v>
      </c>
      <c r="B19" s="42" t="s">
        <v>432</v>
      </c>
      <c r="C19" s="86">
        <v>6800.0</v>
      </c>
      <c r="D19" s="8"/>
      <c r="F19" s="13"/>
      <c r="G19" s="63"/>
      <c r="H19" s="8"/>
      <c r="I19" s="7"/>
      <c r="O19" s="54"/>
      <c r="P19" s="55"/>
    </row>
    <row r="20" ht="15.75" customHeight="1">
      <c r="A20" s="90">
        <v>17.0</v>
      </c>
      <c r="B20" s="42" t="s">
        <v>292</v>
      </c>
      <c r="C20" s="86">
        <v>6800.0</v>
      </c>
      <c r="D20" s="11" t="s">
        <v>201</v>
      </c>
      <c r="F20" s="13"/>
      <c r="G20" s="63"/>
      <c r="H20" s="8"/>
      <c r="I20" s="7"/>
      <c r="O20" s="54"/>
      <c r="P20" s="55"/>
    </row>
    <row r="21" ht="15.75" customHeight="1">
      <c r="A21" s="90">
        <v>18.0</v>
      </c>
      <c r="B21" s="42" t="s">
        <v>433</v>
      </c>
      <c r="C21" s="86">
        <v>6800.0</v>
      </c>
      <c r="D21" s="11" t="s">
        <v>201</v>
      </c>
      <c r="F21" s="13"/>
      <c r="G21" s="63"/>
      <c r="H21" s="8"/>
      <c r="I21" s="7"/>
      <c r="O21" s="54"/>
      <c r="P21" s="55"/>
    </row>
    <row r="22" ht="15.75" customHeight="1">
      <c r="A22" s="90">
        <v>19.0</v>
      </c>
      <c r="B22" s="42" t="s">
        <v>434</v>
      </c>
      <c r="C22" s="86">
        <v>6800.0</v>
      </c>
      <c r="D22" s="11" t="s">
        <v>201</v>
      </c>
      <c r="F22" s="13"/>
      <c r="G22" s="63"/>
      <c r="H22" s="8"/>
      <c r="I22" s="7"/>
      <c r="O22" s="54"/>
      <c r="P22" s="55"/>
    </row>
    <row r="23" ht="15.75" customHeight="1">
      <c r="A23" s="90">
        <v>20.0</v>
      </c>
      <c r="B23" s="42" t="s">
        <v>151</v>
      </c>
      <c r="C23" s="86">
        <v>0.0</v>
      </c>
      <c r="D23" s="8"/>
      <c r="F23" s="13"/>
      <c r="G23" s="63"/>
      <c r="H23" s="8"/>
      <c r="I23" s="7"/>
    </row>
    <row r="24" ht="15.75" customHeight="1"/>
    <row r="25" ht="15.75" customHeight="1">
      <c r="A25" s="5"/>
      <c r="B25" s="66" t="s">
        <v>119</v>
      </c>
      <c r="C25" s="66">
        <f>SUM(C4:C23)</f>
        <v>129200</v>
      </c>
      <c r="D25" s="5"/>
      <c r="E25" s="5"/>
      <c r="F25" s="5"/>
      <c r="G25" s="66" t="s">
        <v>119</v>
      </c>
      <c r="H25" s="66">
        <f>SUM(H4:H23)</f>
        <v>135200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/>
    <row r="27" ht="15.75" customHeight="1">
      <c r="G27" s="67" t="s">
        <v>157</v>
      </c>
      <c r="H27" s="2">
        <f>C25-H25</f>
        <v>-6000</v>
      </c>
      <c r="O27" s="54"/>
    </row>
    <row r="28" ht="15.75" customHeight="1">
      <c r="G28" s="68" t="s">
        <v>435</v>
      </c>
      <c r="H28" s="2">
        <f>H4</f>
        <v>20000</v>
      </c>
    </row>
    <row r="29" ht="15.75" customHeight="1">
      <c r="G29" s="69" t="s">
        <v>330</v>
      </c>
      <c r="H29" s="2">
        <f>H27+H28</f>
        <v>14000</v>
      </c>
    </row>
    <row r="30" ht="15.75" customHeight="1">
      <c r="P30" s="82"/>
    </row>
    <row r="31" ht="15.75" customHeight="1">
      <c r="P31" s="82"/>
    </row>
    <row r="32" ht="15.75" customHeight="1">
      <c r="P32" s="8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O38" s="5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4.0"/>
    <col customWidth="1" min="9" max="9" width="13.63"/>
    <col customWidth="1" min="11" max="11" width="17.13"/>
    <col customWidth="1" min="15" max="15" width="20.13"/>
  </cols>
  <sheetData>
    <row r="1" ht="15.75" customHeight="1">
      <c r="A1" s="33" t="s">
        <v>436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42" t="s">
        <v>11</v>
      </c>
      <c r="C4" s="86">
        <v>3800.0</v>
      </c>
      <c r="D4" s="8"/>
      <c r="F4" s="45">
        <v>45626.0</v>
      </c>
      <c r="G4" s="88" t="s">
        <v>175</v>
      </c>
      <c r="H4" s="47">
        <v>10000.0</v>
      </c>
      <c r="I4" s="16" t="s">
        <v>134</v>
      </c>
    </row>
    <row r="5" ht="15.75" customHeight="1">
      <c r="A5" s="8">
        <v>2.0</v>
      </c>
      <c r="B5" s="42" t="s">
        <v>269</v>
      </c>
      <c r="C5" s="86">
        <v>3800.0</v>
      </c>
      <c r="D5" s="98"/>
      <c r="F5" s="45">
        <v>45647.0</v>
      </c>
      <c r="G5" s="7" t="s">
        <v>139</v>
      </c>
      <c r="H5" s="11">
        <v>2880.0</v>
      </c>
      <c r="I5" s="16" t="s">
        <v>132</v>
      </c>
    </row>
    <row r="6" ht="15.75" customHeight="1">
      <c r="A6" s="8">
        <v>3.0</v>
      </c>
      <c r="B6" s="42" t="s">
        <v>52</v>
      </c>
      <c r="C6" s="86">
        <v>3800.0</v>
      </c>
      <c r="D6" s="8"/>
      <c r="F6" s="45">
        <v>45648.0</v>
      </c>
      <c r="G6" s="7" t="s">
        <v>289</v>
      </c>
      <c r="H6" s="11">
        <v>34715.0</v>
      </c>
      <c r="I6" s="16" t="s">
        <v>132</v>
      </c>
      <c r="J6" s="49"/>
    </row>
    <row r="7" ht="15.75" customHeight="1">
      <c r="A7" s="8">
        <v>4.0</v>
      </c>
      <c r="B7" s="42" t="s">
        <v>193</v>
      </c>
      <c r="C7" s="86">
        <v>3800.0</v>
      </c>
      <c r="D7" s="8"/>
      <c r="F7" s="45">
        <v>45649.0</v>
      </c>
      <c r="G7" s="63" t="s">
        <v>414</v>
      </c>
      <c r="H7" s="11">
        <v>2500.0</v>
      </c>
      <c r="I7" s="16" t="s">
        <v>132</v>
      </c>
      <c r="J7" s="62"/>
    </row>
    <row r="8" ht="15.75" customHeight="1">
      <c r="A8" s="8">
        <v>5.0</v>
      </c>
      <c r="B8" s="42" t="s">
        <v>179</v>
      </c>
      <c r="C8" s="86">
        <v>3800.0</v>
      </c>
      <c r="D8" s="8"/>
      <c r="F8" s="45">
        <v>45649.0</v>
      </c>
      <c r="G8" s="48" t="s">
        <v>317</v>
      </c>
      <c r="H8" s="11">
        <v>3300.0</v>
      </c>
      <c r="I8" s="16" t="s">
        <v>132</v>
      </c>
      <c r="O8" s="54"/>
      <c r="P8" s="55"/>
    </row>
    <row r="9" ht="15.75" customHeight="1">
      <c r="A9" s="8">
        <v>6.0</v>
      </c>
      <c r="B9" s="42" t="s">
        <v>238</v>
      </c>
      <c r="C9" s="86">
        <v>3800.0</v>
      </c>
      <c r="D9" s="8"/>
      <c r="F9" s="45">
        <v>45649.0</v>
      </c>
      <c r="G9" s="48" t="s">
        <v>437</v>
      </c>
      <c r="H9" s="11">
        <v>3300.0</v>
      </c>
      <c r="I9" s="16" t="s">
        <v>132</v>
      </c>
      <c r="L9" s="62"/>
      <c r="M9" s="62"/>
    </row>
    <row r="10" ht="15.75" customHeight="1">
      <c r="A10" s="8">
        <v>7.0</v>
      </c>
      <c r="B10" s="42" t="s">
        <v>240</v>
      </c>
      <c r="C10" s="86">
        <v>3800.0</v>
      </c>
      <c r="D10" s="8"/>
      <c r="F10" s="45">
        <v>45649.0</v>
      </c>
      <c r="G10" s="48" t="s">
        <v>438</v>
      </c>
      <c r="H10" s="11">
        <v>3300.0</v>
      </c>
      <c r="I10" s="16" t="s">
        <v>132</v>
      </c>
      <c r="L10" s="62"/>
      <c r="M10" s="62"/>
    </row>
    <row r="11" ht="15.75" customHeight="1">
      <c r="A11" s="8">
        <v>8.0</v>
      </c>
      <c r="B11" s="42" t="s">
        <v>282</v>
      </c>
      <c r="C11" s="86">
        <v>3800.0</v>
      </c>
      <c r="D11" s="8"/>
      <c r="F11" s="45">
        <v>45649.0</v>
      </c>
      <c r="G11" s="48" t="s">
        <v>439</v>
      </c>
      <c r="H11" s="11">
        <v>3300.0</v>
      </c>
      <c r="I11" s="16" t="s">
        <v>132</v>
      </c>
      <c r="L11" s="62"/>
      <c r="M11" s="62"/>
    </row>
    <row r="12" ht="15.75" customHeight="1">
      <c r="A12" s="8">
        <v>9.0</v>
      </c>
      <c r="B12" s="42" t="s">
        <v>325</v>
      </c>
      <c r="C12" s="86">
        <v>3800.0</v>
      </c>
      <c r="D12" s="8"/>
      <c r="F12" s="45">
        <v>45649.0</v>
      </c>
      <c r="G12" s="48" t="s">
        <v>440</v>
      </c>
      <c r="H12" s="11">
        <v>3300.0</v>
      </c>
      <c r="I12" s="16" t="s">
        <v>132</v>
      </c>
      <c r="L12" s="62"/>
      <c r="M12" s="62"/>
    </row>
    <row r="13" ht="15.75" customHeight="1">
      <c r="A13" s="8">
        <v>10.0</v>
      </c>
      <c r="B13" s="42" t="s">
        <v>433</v>
      </c>
      <c r="C13" s="86">
        <v>3800.0</v>
      </c>
      <c r="D13" s="8"/>
      <c r="F13" s="13"/>
      <c r="G13" s="63"/>
      <c r="H13" s="8"/>
      <c r="I13" s="7"/>
      <c r="L13" s="62"/>
      <c r="M13" s="62"/>
    </row>
    <row r="14" ht="15.75" customHeight="1">
      <c r="A14" s="8">
        <v>11.0</v>
      </c>
      <c r="B14" s="42" t="s">
        <v>441</v>
      </c>
      <c r="C14" s="86">
        <v>3800.0</v>
      </c>
      <c r="D14" s="8"/>
      <c r="F14" s="13"/>
      <c r="G14" s="63"/>
      <c r="H14" s="8"/>
      <c r="I14" s="7"/>
      <c r="L14" s="62"/>
      <c r="M14" s="62"/>
    </row>
    <row r="15" ht="15.75" customHeight="1">
      <c r="A15" s="90">
        <v>12.0</v>
      </c>
      <c r="B15" s="42" t="s">
        <v>442</v>
      </c>
      <c r="C15" s="86">
        <v>3800.0</v>
      </c>
      <c r="D15" s="8"/>
      <c r="F15" s="13"/>
      <c r="G15" s="63"/>
      <c r="H15" s="8"/>
      <c r="I15" s="7"/>
      <c r="L15" s="54"/>
      <c r="M15" s="54"/>
    </row>
    <row r="16" ht="15.75" customHeight="1">
      <c r="A16" s="90">
        <v>13.0</v>
      </c>
      <c r="B16" s="42" t="s">
        <v>49</v>
      </c>
      <c r="C16" s="86">
        <v>3800.0</v>
      </c>
      <c r="D16" s="98"/>
      <c r="F16" s="13"/>
      <c r="G16" s="63"/>
      <c r="H16" s="8"/>
      <c r="I16" s="7"/>
    </row>
    <row r="17" ht="15.75" customHeight="1">
      <c r="A17" s="90">
        <v>14.0</v>
      </c>
      <c r="B17" s="42" t="s">
        <v>443</v>
      </c>
      <c r="C17" s="86">
        <v>3800.0</v>
      </c>
      <c r="D17" s="8"/>
      <c r="F17" s="13"/>
      <c r="G17" s="63"/>
      <c r="H17" s="8"/>
      <c r="I17" s="7"/>
    </row>
    <row r="18" ht="15.75" customHeight="1">
      <c r="A18" s="90">
        <v>15.0</v>
      </c>
      <c r="B18" s="42" t="s">
        <v>444</v>
      </c>
      <c r="C18" s="86">
        <v>3800.0</v>
      </c>
      <c r="D18" s="98"/>
      <c r="F18" s="13"/>
      <c r="G18" s="63"/>
      <c r="H18" s="8"/>
      <c r="I18" s="7"/>
    </row>
    <row r="19" ht="15.75" customHeight="1">
      <c r="A19" s="90">
        <v>16.0</v>
      </c>
      <c r="B19" s="42" t="s">
        <v>445</v>
      </c>
      <c r="C19" s="86">
        <v>3800.0</v>
      </c>
      <c r="D19" s="8"/>
      <c r="F19" s="13"/>
      <c r="G19" s="63"/>
      <c r="H19" s="8"/>
      <c r="I19" s="7"/>
      <c r="O19" s="54"/>
      <c r="P19" s="55"/>
    </row>
    <row r="20" ht="15.75" customHeight="1">
      <c r="A20" s="90">
        <v>17.0</v>
      </c>
      <c r="B20" s="42" t="s">
        <v>324</v>
      </c>
      <c r="C20" s="86">
        <v>3800.0</v>
      </c>
      <c r="D20" s="8"/>
      <c r="F20" s="13"/>
      <c r="G20" s="63"/>
      <c r="H20" s="8"/>
      <c r="I20" s="7"/>
      <c r="O20" s="54"/>
      <c r="P20" s="55"/>
    </row>
    <row r="21" ht="15.75" customHeight="1">
      <c r="A21" s="90">
        <v>18.0</v>
      </c>
      <c r="B21" s="42" t="s">
        <v>446</v>
      </c>
      <c r="C21" s="86">
        <v>3800.0</v>
      </c>
      <c r="D21" s="8"/>
      <c r="F21" s="13"/>
      <c r="G21" s="63"/>
      <c r="H21" s="8"/>
      <c r="I21" s="7"/>
      <c r="O21" s="54"/>
      <c r="P21" s="55"/>
    </row>
    <row r="22" ht="15.75" customHeight="1">
      <c r="A22" s="90">
        <v>19.0</v>
      </c>
      <c r="B22" s="42" t="s">
        <v>447</v>
      </c>
      <c r="C22" s="86">
        <v>3800.0</v>
      </c>
      <c r="D22" s="8"/>
      <c r="F22" s="13"/>
      <c r="G22" s="63"/>
      <c r="H22" s="8"/>
      <c r="I22" s="7"/>
      <c r="O22" s="54"/>
      <c r="P22" s="55"/>
    </row>
    <row r="23" ht="15.75" customHeight="1">
      <c r="A23" s="90">
        <v>20.0</v>
      </c>
      <c r="B23" s="42" t="s">
        <v>448</v>
      </c>
      <c r="C23" s="86">
        <v>3800.0</v>
      </c>
      <c r="D23" s="8"/>
      <c r="F23" s="13"/>
      <c r="G23" s="63"/>
      <c r="H23" s="8"/>
      <c r="I23" s="7"/>
      <c r="O23" s="54"/>
      <c r="P23" s="55"/>
    </row>
    <row r="24" ht="15.75" customHeight="1">
      <c r="A24" s="90">
        <v>21.0</v>
      </c>
      <c r="B24" s="42" t="s">
        <v>449</v>
      </c>
      <c r="C24" s="86">
        <v>3800.0</v>
      </c>
      <c r="D24" s="8"/>
      <c r="F24" s="13"/>
      <c r="G24" s="63"/>
      <c r="H24" s="8"/>
      <c r="I24" s="7"/>
      <c r="O24" s="54"/>
      <c r="P24" s="55"/>
    </row>
    <row r="25" ht="15.75" customHeight="1">
      <c r="A25" s="90">
        <v>22.0</v>
      </c>
      <c r="B25" s="42" t="s">
        <v>450</v>
      </c>
      <c r="C25" s="86">
        <v>3800.0</v>
      </c>
      <c r="D25" s="8"/>
      <c r="F25" s="13"/>
      <c r="G25" s="63"/>
      <c r="H25" s="8"/>
      <c r="I25" s="7"/>
      <c r="O25" s="54"/>
      <c r="P25" s="55"/>
    </row>
    <row r="26" ht="15.75" customHeight="1">
      <c r="A26" s="90">
        <v>23.0</v>
      </c>
      <c r="B26" s="53" t="s">
        <v>451</v>
      </c>
      <c r="C26" s="86">
        <v>3800.0</v>
      </c>
      <c r="D26" s="11" t="s">
        <v>201</v>
      </c>
      <c r="F26" s="13"/>
      <c r="G26" s="63"/>
      <c r="H26" s="8"/>
      <c r="I26" s="7"/>
      <c r="O26" s="54"/>
      <c r="P26" s="55"/>
    </row>
    <row r="27" ht="15.75" customHeight="1">
      <c r="A27" s="90">
        <v>24.0</v>
      </c>
      <c r="B27" s="53" t="s">
        <v>357</v>
      </c>
      <c r="C27" s="86">
        <v>3800.0</v>
      </c>
      <c r="D27" s="11" t="s">
        <v>201</v>
      </c>
      <c r="F27" s="13"/>
      <c r="G27" s="63"/>
      <c r="H27" s="8"/>
      <c r="I27" s="7"/>
      <c r="O27" s="54"/>
      <c r="P27" s="55"/>
    </row>
    <row r="28" ht="15.75" customHeight="1">
      <c r="A28" s="90">
        <v>25.0</v>
      </c>
      <c r="B28" s="53" t="s">
        <v>36</v>
      </c>
      <c r="C28" s="86">
        <v>3800.0</v>
      </c>
      <c r="D28" s="11" t="s">
        <v>201</v>
      </c>
      <c r="F28" s="13"/>
      <c r="G28" s="63"/>
      <c r="H28" s="8"/>
      <c r="I28" s="7"/>
      <c r="O28" s="54"/>
      <c r="P28" s="55"/>
    </row>
    <row r="29" ht="15.75" customHeight="1">
      <c r="A29" s="90">
        <v>26.0</v>
      </c>
      <c r="B29" s="53" t="s">
        <v>303</v>
      </c>
      <c r="C29" s="86">
        <v>3800.0</v>
      </c>
      <c r="D29" s="11" t="s">
        <v>201</v>
      </c>
      <c r="F29" s="13"/>
      <c r="G29" s="63"/>
      <c r="H29" s="8"/>
      <c r="I29" s="7"/>
      <c r="O29" s="54"/>
      <c r="P29" s="55"/>
    </row>
    <row r="30" ht="15.75" customHeight="1">
      <c r="A30" s="90">
        <v>27.0</v>
      </c>
      <c r="B30" s="42" t="s">
        <v>229</v>
      </c>
      <c r="C30" s="86">
        <v>3800.0</v>
      </c>
      <c r="D30" s="11" t="s">
        <v>201</v>
      </c>
      <c r="F30" s="13"/>
      <c r="G30" s="63"/>
      <c r="H30" s="8"/>
      <c r="I30" s="7"/>
    </row>
    <row r="31" ht="15.75" customHeight="1">
      <c r="A31" s="90">
        <v>28.0</v>
      </c>
      <c r="B31" s="42" t="s">
        <v>151</v>
      </c>
      <c r="C31" s="86">
        <v>0.0</v>
      </c>
      <c r="D31" s="11"/>
      <c r="F31" s="13"/>
      <c r="G31" s="63"/>
      <c r="H31" s="8"/>
      <c r="I31" s="7"/>
    </row>
    <row r="32" ht="15.75" customHeight="1"/>
    <row r="33" ht="15.75" customHeight="1">
      <c r="A33" s="5"/>
      <c r="B33" s="66" t="s">
        <v>119</v>
      </c>
      <c r="C33" s="66">
        <f>SUM(C4:C31)</f>
        <v>102600</v>
      </c>
      <c r="D33" s="5"/>
      <c r="E33" s="5"/>
      <c r="F33" s="5"/>
      <c r="G33" s="66" t="s">
        <v>119</v>
      </c>
      <c r="H33" s="66">
        <f>SUM(H4:H31)</f>
        <v>66595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/>
    <row r="35" ht="15.75" customHeight="1">
      <c r="G35" s="67" t="s">
        <v>157</v>
      </c>
      <c r="H35" s="2">
        <f>C33-H33</f>
        <v>36005</v>
      </c>
      <c r="O35" s="54"/>
    </row>
    <row r="36" ht="15.75" customHeight="1">
      <c r="G36" s="68" t="s">
        <v>230</v>
      </c>
      <c r="H36" s="2">
        <f>H4</f>
        <v>10000</v>
      </c>
    </row>
    <row r="37" ht="15.75" customHeight="1">
      <c r="G37" s="69" t="s">
        <v>231</v>
      </c>
      <c r="H37" s="2">
        <f>H35+H36</f>
        <v>46005</v>
      </c>
    </row>
    <row r="38" ht="15.75" customHeight="1">
      <c r="G38" s="104" t="s">
        <v>452</v>
      </c>
      <c r="P38" s="82"/>
    </row>
    <row r="39" ht="15.75" customHeight="1">
      <c r="P39" s="82"/>
    </row>
    <row r="40" ht="15.75" customHeight="1">
      <c r="P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O46" s="5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4.0"/>
    <col customWidth="1" min="9" max="9" width="13.63"/>
    <col customWidth="1" min="11" max="11" width="17.13"/>
    <col customWidth="1" min="15" max="15" width="20.13"/>
  </cols>
  <sheetData>
    <row r="1" ht="15.75" customHeight="1">
      <c r="A1" s="33" t="s">
        <v>453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42" t="s">
        <v>11</v>
      </c>
      <c r="C4" s="86">
        <v>3250.0</v>
      </c>
      <c r="D4" s="8"/>
      <c r="F4" s="45">
        <v>45563.0</v>
      </c>
      <c r="G4" s="88" t="s">
        <v>175</v>
      </c>
      <c r="H4" s="47">
        <v>10000.0</v>
      </c>
      <c r="I4" s="16" t="s">
        <v>454</v>
      </c>
    </row>
    <row r="5" ht="15.75" customHeight="1">
      <c r="A5" s="8">
        <v>2.0</v>
      </c>
      <c r="B5" s="42" t="s">
        <v>49</v>
      </c>
      <c r="C5" s="86">
        <v>3250.0</v>
      </c>
      <c r="D5" s="98"/>
      <c r="F5" s="45">
        <v>45611.0</v>
      </c>
      <c r="G5" s="7" t="s">
        <v>139</v>
      </c>
      <c r="H5" s="11">
        <v>3615.0</v>
      </c>
      <c r="I5" s="16" t="s">
        <v>134</v>
      </c>
    </row>
    <row r="6" ht="15.75" customHeight="1">
      <c r="A6" s="8">
        <v>3.0</v>
      </c>
      <c r="B6" s="42" t="s">
        <v>52</v>
      </c>
      <c r="C6" s="86">
        <v>3250.0</v>
      </c>
      <c r="D6" s="8"/>
      <c r="F6" s="45">
        <v>45613.0</v>
      </c>
      <c r="G6" s="7" t="s">
        <v>289</v>
      </c>
      <c r="H6" s="11">
        <v>38000.0</v>
      </c>
      <c r="I6" s="16" t="s">
        <v>134</v>
      </c>
      <c r="J6" s="49" t="s">
        <v>455</v>
      </c>
      <c r="L6" s="64" t="s">
        <v>456</v>
      </c>
    </row>
    <row r="7" ht="15.75" customHeight="1">
      <c r="A7" s="8">
        <v>4.0</v>
      </c>
      <c r="B7" s="42" t="s">
        <v>457</v>
      </c>
      <c r="C7" s="86">
        <v>3250.0</v>
      </c>
      <c r="D7" s="8"/>
      <c r="F7" s="45">
        <v>45613.0</v>
      </c>
      <c r="G7" s="63" t="s">
        <v>414</v>
      </c>
      <c r="H7" s="11">
        <v>4000.0</v>
      </c>
      <c r="I7" s="16" t="s">
        <v>134</v>
      </c>
      <c r="J7" s="62"/>
    </row>
    <row r="8" ht="15.75" customHeight="1">
      <c r="A8" s="8">
        <v>5.0</v>
      </c>
      <c r="B8" s="42" t="s">
        <v>36</v>
      </c>
      <c r="C8" s="86">
        <v>3250.0</v>
      </c>
      <c r="D8" s="8"/>
      <c r="F8" s="45">
        <v>45614.0</v>
      </c>
      <c r="G8" s="48" t="s">
        <v>365</v>
      </c>
      <c r="H8" s="11">
        <v>2750.0</v>
      </c>
      <c r="I8" s="16" t="s">
        <v>134</v>
      </c>
      <c r="O8" s="54"/>
      <c r="P8" s="55"/>
    </row>
    <row r="9" ht="15.75" customHeight="1">
      <c r="A9" s="8">
        <v>6.0</v>
      </c>
      <c r="B9" s="42" t="s">
        <v>393</v>
      </c>
      <c r="C9" s="86">
        <v>3250.0</v>
      </c>
      <c r="D9" s="8"/>
      <c r="F9" s="45">
        <v>45614.0</v>
      </c>
      <c r="G9" s="48" t="s">
        <v>437</v>
      </c>
      <c r="H9" s="11">
        <v>2750.0</v>
      </c>
      <c r="I9" s="16" t="s">
        <v>134</v>
      </c>
      <c r="L9" s="62"/>
      <c r="M9" s="62"/>
    </row>
    <row r="10" ht="15.75" customHeight="1">
      <c r="A10" s="8">
        <v>7.0</v>
      </c>
      <c r="B10" s="42" t="s">
        <v>192</v>
      </c>
      <c r="C10" s="86">
        <v>3250.0</v>
      </c>
      <c r="D10" s="8"/>
      <c r="F10" s="45"/>
      <c r="G10" s="105"/>
      <c r="H10" s="51"/>
      <c r="I10" s="16"/>
      <c r="L10" s="62"/>
      <c r="M10" s="62"/>
    </row>
    <row r="11" ht="15.75" customHeight="1">
      <c r="A11" s="8">
        <v>8.0</v>
      </c>
      <c r="B11" s="42" t="s">
        <v>274</v>
      </c>
      <c r="C11" s="86">
        <v>3250.0</v>
      </c>
      <c r="D11" s="8"/>
      <c r="F11" s="45"/>
      <c r="G11" s="106"/>
      <c r="H11" s="51"/>
      <c r="I11" s="16"/>
      <c r="L11" s="62"/>
      <c r="M11" s="62"/>
    </row>
    <row r="12" ht="15.75" customHeight="1">
      <c r="A12" s="8">
        <v>9.0</v>
      </c>
      <c r="B12" s="42" t="s">
        <v>188</v>
      </c>
      <c r="C12" s="86">
        <v>3250.0</v>
      </c>
      <c r="D12" s="8"/>
      <c r="F12" s="13"/>
      <c r="G12" s="63"/>
      <c r="H12" s="8"/>
      <c r="I12" s="7"/>
      <c r="L12" s="62"/>
      <c r="M12" s="62"/>
    </row>
    <row r="13" ht="15.75" customHeight="1">
      <c r="A13" s="8">
        <v>10.0</v>
      </c>
      <c r="B13" s="42" t="s">
        <v>303</v>
      </c>
      <c r="C13" s="86">
        <v>3250.0</v>
      </c>
      <c r="D13" s="8"/>
      <c r="F13" s="13"/>
      <c r="G13" s="63"/>
      <c r="H13" s="8"/>
      <c r="I13" s="7"/>
      <c r="L13" s="62"/>
      <c r="M13" s="62"/>
    </row>
    <row r="14" ht="15.75" customHeight="1">
      <c r="A14" s="8">
        <v>11.0</v>
      </c>
      <c r="B14" s="42" t="s">
        <v>203</v>
      </c>
      <c r="C14" s="86">
        <v>3250.0</v>
      </c>
      <c r="D14" s="8"/>
      <c r="F14" s="13"/>
      <c r="G14" s="63"/>
      <c r="H14" s="8"/>
      <c r="I14" s="7"/>
      <c r="L14" s="62"/>
      <c r="M14" s="62"/>
    </row>
    <row r="15" ht="15.75" customHeight="1">
      <c r="A15" s="90">
        <v>12.0</v>
      </c>
      <c r="B15" s="42" t="s">
        <v>387</v>
      </c>
      <c r="C15" s="86">
        <v>3250.0</v>
      </c>
      <c r="D15" s="8"/>
      <c r="F15" s="13"/>
      <c r="G15" s="63"/>
      <c r="H15" s="8"/>
      <c r="I15" s="7"/>
      <c r="L15" s="54"/>
      <c r="M15" s="54"/>
    </row>
    <row r="16" ht="15.75" customHeight="1">
      <c r="A16" s="90">
        <v>13.0</v>
      </c>
      <c r="B16" s="42" t="s">
        <v>238</v>
      </c>
      <c r="C16" s="86">
        <v>3250.0</v>
      </c>
      <c r="D16" s="98"/>
      <c r="F16" s="13"/>
      <c r="G16" s="63"/>
      <c r="H16" s="8"/>
      <c r="I16" s="7"/>
    </row>
    <row r="17" ht="15.75" customHeight="1">
      <c r="A17" s="90">
        <v>14.0</v>
      </c>
      <c r="B17" s="42" t="s">
        <v>399</v>
      </c>
      <c r="C17" s="86">
        <v>3250.0</v>
      </c>
      <c r="D17" s="8"/>
      <c r="F17" s="13"/>
      <c r="G17" s="63"/>
      <c r="H17" s="8"/>
      <c r="I17" s="7"/>
    </row>
    <row r="18" ht="15.75" customHeight="1">
      <c r="A18" s="90">
        <v>15.0</v>
      </c>
      <c r="B18" s="42" t="s">
        <v>179</v>
      </c>
      <c r="C18" s="86">
        <v>3250.0</v>
      </c>
      <c r="D18" s="98"/>
      <c r="F18" s="13"/>
      <c r="G18" s="63"/>
      <c r="H18" s="8"/>
      <c r="I18" s="7"/>
    </row>
    <row r="19" ht="15.75" customHeight="1">
      <c r="A19" s="90">
        <v>16.0</v>
      </c>
      <c r="B19" s="42" t="s">
        <v>198</v>
      </c>
      <c r="C19" s="86">
        <v>3250.0</v>
      </c>
      <c r="D19" s="8"/>
      <c r="F19" s="13"/>
      <c r="G19" s="63"/>
      <c r="H19" s="8"/>
      <c r="I19" s="7"/>
      <c r="O19" s="54"/>
      <c r="P19" s="55"/>
    </row>
    <row r="20" ht="15.75" customHeight="1">
      <c r="A20" s="90">
        <v>17.0</v>
      </c>
      <c r="B20" s="42" t="s">
        <v>191</v>
      </c>
      <c r="C20" s="86">
        <v>3250.0</v>
      </c>
      <c r="D20" s="8"/>
      <c r="F20" s="13"/>
      <c r="G20" s="63"/>
      <c r="H20" s="8"/>
      <c r="I20" s="7"/>
      <c r="O20" s="54"/>
      <c r="P20" s="55"/>
    </row>
    <row r="21" ht="15.75" customHeight="1">
      <c r="A21" s="90">
        <v>18.0</v>
      </c>
      <c r="B21" s="42" t="s">
        <v>458</v>
      </c>
      <c r="C21" s="86">
        <v>3250.0</v>
      </c>
      <c r="D21" s="8"/>
      <c r="F21" s="13"/>
      <c r="G21" s="63"/>
      <c r="H21" s="8"/>
      <c r="I21" s="7"/>
      <c r="O21" s="54"/>
      <c r="P21" s="55"/>
    </row>
    <row r="22" ht="15.75" customHeight="1">
      <c r="A22" s="90">
        <v>19.0</v>
      </c>
      <c r="B22" s="42" t="s">
        <v>301</v>
      </c>
      <c r="C22" s="86">
        <v>3250.0</v>
      </c>
      <c r="D22" s="8"/>
      <c r="F22" s="13"/>
      <c r="G22" s="63"/>
      <c r="H22" s="8"/>
      <c r="I22" s="7"/>
      <c r="O22" s="54"/>
      <c r="P22" s="55"/>
    </row>
    <row r="23" ht="15.75" customHeight="1">
      <c r="A23" s="90">
        <v>20.0</v>
      </c>
      <c r="B23" s="42" t="s">
        <v>459</v>
      </c>
      <c r="C23" s="86">
        <v>3250.0</v>
      </c>
      <c r="D23" s="8"/>
      <c r="F23" s="13"/>
      <c r="G23" s="63"/>
      <c r="H23" s="8"/>
      <c r="I23" s="7"/>
    </row>
    <row r="24" ht="15.75" customHeight="1">
      <c r="A24" s="90">
        <v>21.0</v>
      </c>
      <c r="B24" s="42" t="s">
        <v>460</v>
      </c>
      <c r="C24" s="86">
        <v>3250.0</v>
      </c>
      <c r="D24" s="11" t="s">
        <v>201</v>
      </c>
      <c r="F24" s="13"/>
      <c r="G24" s="63"/>
      <c r="H24" s="8"/>
      <c r="I24" s="7"/>
    </row>
    <row r="25" ht="15.75" customHeight="1">
      <c r="A25" s="90">
        <v>22.0</v>
      </c>
      <c r="B25" s="42" t="s">
        <v>229</v>
      </c>
      <c r="C25" s="86">
        <v>3250.0</v>
      </c>
      <c r="D25" s="11" t="s">
        <v>201</v>
      </c>
      <c r="F25" s="13"/>
      <c r="G25" s="63"/>
      <c r="H25" s="8"/>
      <c r="I25" s="7"/>
    </row>
    <row r="26" ht="15.75" customHeight="1">
      <c r="A26" s="90">
        <v>23.0</v>
      </c>
      <c r="B26" s="107" t="s">
        <v>151</v>
      </c>
      <c r="C26" s="86">
        <v>0.0</v>
      </c>
      <c r="D26" s="108"/>
      <c r="F26" s="13"/>
      <c r="G26" s="63"/>
      <c r="H26" s="8"/>
      <c r="I26" s="7"/>
    </row>
    <row r="27" ht="15.75" customHeight="1"/>
    <row r="28" ht="15.75" customHeight="1">
      <c r="A28" s="5"/>
      <c r="B28" s="66" t="s">
        <v>119</v>
      </c>
      <c r="C28" s="66">
        <f>SUM(C4:C26)</f>
        <v>71500</v>
      </c>
      <c r="D28" s="5"/>
      <c r="E28" s="5"/>
      <c r="F28" s="5"/>
      <c r="G28" s="66" t="s">
        <v>119</v>
      </c>
      <c r="H28" s="66">
        <f>SUM(H4:H26)</f>
        <v>61115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/>
    <row r="30" ht="15.75" customHeight="1">
      <c r="G30" s="67" t="s">
        <v>157</v>
      </c>
      <c r="H30" s="2">
        <f>C28-H28</f>
        <v>10385</v>
      </c>
      <c r="O30" s="54"/>
    </row>
    <row r="31" ht="15.75" customHeight="1">
      <c r="G31" s="68" t="s">
        <v>461</v>
      </c>
      <c r="H31" s="2">
        <f>H4</f>
        <v>10000</v>
      </c>
    </row>
    <row r="32" ht="15.75" customHeight="1">
      <c r="G32" s="69" t="s">
        <v>159</v>
      </c>
      <c r="H32" s="2">
        <f>H30+H31</f>
        <v>20385</v>
      </c>
    </row>
    <row r="33" ht="15.75" customHeight="1">
      <c r="G33" s="104" t="s">
        <v>452</v>
      </c>
      <c r="P33" s="82"/>
    </row>
    <row r="34" ht="15.75" customHeight="1">
      <c r="P34" s="82"/>
    </row>
    <row r="35" ht="15.75" customHeight="1">
      <c r="P35" s="8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O41" s="5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4.0"/>
    <col customWidth="1" min="9" max="9" width="13.63"/>
    <col customWidth="1" min="11" max="11" width="17.13"/>
    <col customWidth="1" min="15" max="15" width="20.13"/>
  </cols>
  <sheetData>
    <row r="1" ht="15.75" customHeight="1">
      <c r="A1" s="33" t="s">
        <v>462</v>
      </c>
      <c r="B1" s="34"/>
      <c r="C1" s="34"/>
      <c r="D1" s="34"/>
      <c r="E1" s="34"/>
      <c r="F1" s="34"/>
      <c r="G1" s="34"/>
      <c r="H1" s="34"/>
      <c r="I1" s="21"/>
      <c r="J1" s="35" t="s">
        <v>122</v>
      </c>
      <c r="K1" s="84" t="s">
        <v>233</v>
      </c>
      <c r="L1" s="37">
        <v>9.360814844E9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42" t="s">
        <v>11</v>
      </c>
      <c r="C4" s="86">
        <v>2900.0</v>
      </c>
      <c r="D4" s="8"/>
      <c r="F4" s="45">
        <v>45563.0</v>
      </c>
      <c r="G4" s="88" t="s">
        <v>175</v>
      </c>
      <c r="H4" s="47">
        <v>10000.0</v>
      </c>
      <c r="I4" s="16" t="s">
        <v>424</v>
      </c>
    </row>
    <row r="5" ht="15.75" customHeight="1">
      <c r="A5" s="8">
        <v>2.0</v>
      </c>
      <c r="B5" s="105" t="s">
        <v>193</v>
      </c>
      <c r="C5" s="86">
        <v>2900.0</v>
      </c>
      <c r="D5" s="98"/>
      <c r="F5" s="45">
        <v>45584.0</v>
      </c>
      <c r="G5" s="7" t="s">
        <v>139</v>
      </c>
      <c r="H5" s="11">
        <v>3840.0</v>
      </c>
      <c r="I5" s="16" t="s">
        <v>454</v>
      </c>
    </row>
    <row r="6" ht="15.75" customHeight="1">
      <c r="A6" s="8">
        <v>3.0</v>
      </c>
      <c r="B6" s="105" t="s">
        <v>36</v>
      </c>
      <c r="C6" s="86">
        <v>2900.0</v>
      </c>
      <c r="D6" s="8"/>
      <c r="F6" s="45">
        <v>45585.0</v>
      </c>
      <c r="G6" s="7" t="s">
        <v>289</v>
      </c>
      <c r="H6" s="11">
        <v>59750.0</v>
      </c>
      <c r="I6" s="16" t="s">
        <v>454</v>
      </c>
      <c r="J6" s="49" t="s">
        <v>463</v>
      </c>
    </row>
    <row r="7" ht="15.75" customHeight="1">
      <c r="A7" s="8">
        <v>4.0</v>
      </c>
      <c r="B7" s="105" t="s">
        <v>52</v>
      </c>
      <c r="C7" s="86">
        <v>2900.0</v>
      </c>
      <c r="D7" s="8"/>
      <c r="F7" s="45">
        <v>45585.0</v>
      </c>
      <c r="G7" s="16" t="s">
        <v>464</v>
      </c>
      <c r="H7" s="11">
        <v>7410.0</v>
      </c>
      <c r="I7" s="16" t="s">
        <v>454</v>
      </c>
      <c r="J7" s="62"/>
    </row>
    <row r="8" ht="15.75" customHeight="1">
      <c r="A8" s="8">
        <v>5.0</v>
      </c>
      <c r="B8" s="105" t="s">
        <v>393</v>
      </c>
      <c r="C8" s="86">
        <v>2900.0</v>
      </c>
      <c r="D8" s="8"/>
      <c r="F8" s="45">
        <v>45585.0</v>
      </c>
      <c r="G8" s="63" t="s">
        <v>414</v>
      </c>
      <c r="H8" s="8">
        <v>2500.0</v>
      </c>
      <c r="I8" s="16" t="s">
        <v>454</v>
      </c>
      <c r="O8" s="54"/>
      <c r="P8" s="55"/>
    </row>
    <row r="9" ht="15.75" customHeight="1">
      <c r="A9" s="8">
        <v>6.0</v>
      </c>
      <c r="B9" s="105" t="s">
        <v>465</v>
      </c>
      <c r="C9" s="86">
        <v>2900.0</v>
      </c>
      <c r="D9" s="8"/>
      <c r="F9" s="45">
        <v>45586.0</v>
      </c>
      <c r="G9" s="109" t="s">
        <v>466</v>
      </c>
      <c r="H9" s="51">
        <v>2400.0</v>
      </c>
      <c r="I9" s="16" t="s">
        <v>454</v>
      </c>
      <c r="L9" s="62"/>
      <c r="M9" s="62"/>
    </row>
    <row r="10" ht="15.75" customHeight="1">
      <c r="A10" s="8">
        <v>7.0</v>
      </c>
      <c r="B10" s="105" t="s">
        <v>387</v>
      </c>
      <c r="C10" s="86">
        <v>2900.0</v>
      </c>
      <c r="D10" s="8"/>
      <c r="F10" s="45">
        <v>45586.0</v>
      </c>
      <c r="G10" s="105" t="s">
        <v>353</v>
      </c>
      <c r="H10" s="51">
        <v>2400.0</v>
      </c>
      <c r="I10" s="16" t="s">
        <v>454</v>
      </c>
      <c r="L10" s="62"/>
      <c r="M10" s="62"/>
    </row>
    <row r="11" ht="15.75" customHeight="1">
      <c r="A11" s="8">
        <v>8.0</v>
      </c>
      <c r="B11" s="105" t="s">
        <v>392</v>
      </c>
      <c r="C11" s="86">
        <v>2900.0</v>
      </c>
      <c r="D11" s="8"/>
      <c r="F11" s="45">
        <v>45586.0</v>
      </c>
      <c r="G11" s="106" t="s">
        <v>467</v>
      </c>
      <c r="H11" s="51">
        <v>2400.0</v>
      </c>
      <c r="I11" s="16" t="s">
        <v>454</v>
      </c>
      <c r="L11" s="62"/>
      <c r="M11" s="62"/>
    </row>
    <row r="12" ht="15.75" customHeight="1">
      <c r="A12" s="8">
        <v>9.0</v>
      </c>
      <c r="B12" s="105" t="s">
        <v>430</v>
      </c>
      <c r="C12" s="86">
        <v>2900.0</v>
      </c>
      <c r="D12" s="8"/>
      <c r="F12" s="13"/>
      <c r="G12" s="63"/>
      <c r="H12" s="8"/>
      <c r="I12" s="7"/>
      <c r="L12" s="62"/>
      <c r="M12" s="62"/>
    </row>
    <row r="13" ht="15.75" customHeight="1">
      <c r="A13" s="8">
        <v>10.0</v>
      </c>
      <c r="B13" s="105" t="s">
        <v>203</v>
      </c>
      <c r="C13" s="86">
        <v>2900.0</v>
      </c>
      <c r="D13" s="8"/>
      <c r="F13" s="13"/>
      <c r="G13" s="63"/>
      <c r="H13" s="8"/>
      <c r="I13" s="7"/>
      <c r="L13" s="62"/>
      <c r="M13" s="62"/>
    </row>
    <row r="14" ht="15.75" customHeight="1">
      <c r="A14" s="8">
        <v>11.0</v>
      </c>
      <c r="B14" s="105" t="s">
        <v>431</v>
      </c>
      <c r="C14" s="86">
        <v>2900.0</v>
      </c>
      <c r="D14" s="8"/>
      <c r="F14" s="13"/>
      <c r="G14" s="63"/>
      <c r="H14" s="8"/>
      <c r="I14" s="7"/>
      <c r="L14" s="62"/>
      <c r="M14" s="62"/>
    </row>
    <row r="15" ht="15.75" customHeight="1">
      <c r="A15" s="90">
        <v>12.0</v>
      </c>
      <c r="B15" s="105" t="s">
        <v>192</v>
      </c>
      <c r="C15" s="86">
        <v>2900.0</v>
      </c>
      <c r="D15" s="8"/>
      <c r="F15" s="13"/>
      <c r="G15" s="63"/>
      <c r="H15" s="8"/>
      <c r="I15" s="7"/>
      <c r="L15" s="54"/>
      <c r="M15" s="54"/>
    </row>
    <row r="16" ht="15.75" customHeight="1">
      <c r="A16" s="90">
        <v>13.0</v>
      </c>
      <c r="B16" s="105" t="s">
        <v>468</v>
      </c>
      <c r="C16" s="86">
        <v>2900.0</v>
      </c>
      <c r="D16" s="98"/>
      <c r="F16" s="13"/>
      <c r="G16" s="63"/>
      <c r="H16" s="8"/>
      <c r="I16" s="7"/>
    </row>
    <row r="17" ht="15.75" customHeight="1">
      <c r="A17" s="90">
        <v>14.0</v>
      </c>
      <c r="B17" s="105" t="s">
        <v>469</v>
      </c>
      <c r="C17" s="86">
        <v>2900.0</v>
      </c>
      <c r="D17" s="8"/>
      <c r="F17" s="13"/>
      <c r="G17" s="63"/>
      <c r="H17" s="8"/>
      <c r="I17" s="7"/>
    </row>
    <row r="18" ht="15.75" customHeight="1">
      <c r="A18" s="90">
        <v>15.0</v>
      </c>
      <c r="B18" s="105" t="s">
        <v>325</v>
      </c>
      <c r="C18" s="86">
        <v>2900.0</v>
      </c>
      <c r="D18" s="98"/>
      <c r="F18" s="13"/>
      <c r="G18" s="63"/>
      <c r="H18" s="8"/>
      <c r="I18" s="7"/>
    </row>
    <row r="19" ht="15.75" customHeight="1">
      <c r="A19" s="90">
        <v>16.0</v>
      </c>
      <c r="B19" s="105" t="s">
        <v>238</v>
      </c>
      <c r="C19" s="86">
        <v>2900.0</v>
      </c>
      <c r="D19" s="8"/>
      <c r="F19" s="13"/>
      <c r="G19" s="63"/>
      <c r="H19" s="8"/>
      <c r="I19" s="7"/>
      <c r="O19" s="54"/>
      <c r="P19" s="55"/>
    </row>
    <row r="20" ht="15.75" customHeight="1">
      <c r="A20" s="90">
        <v>17.0</v>
      </c>
      <c r="B20" s="105" t="s">
        <v>470</v>
      </c>
      <c r="C20" s="86">
        <v>2900.0</v>
      </c>
      <c r="D20" s="8"/>
      <c r="F20" s="13"/>
      <c r="G20" s="63"/>
      <c r="H20" s="8"/>
      <c r="I20" s="7"/>
      <c r="O20" s="54"/>
      <c r="P20" s="55"/>
    </row>
    <row r="21" ht="15.75" customHeight="1">
      <c r="A21" s="90">
        <v>18.0</v>
      </c>
      <c r="B21" s="105" t="s">
        <v>471</v>
      </c>
      <c r="C21" s="86">
        <v>2900.0</v>
      </c>
      <c r="D21" s="8"/>
      <c r="F21" s="13"/>
      <c r="G21" s="63"/>
      <c r="H21" s="8"/>
      <c r="I21" s="7"/>
      <c r="O21" s="54"/>
      <c r="P21" s="55"/>
    </row>
    <row r="22" ht="15.75" customHeight="1">
      <c r="A22" s="90">
        <v>19.0</v>
      </c>
      <c r="B22" s="105" t="s">
        <v>269</v>
      </c>
      <c r="C22" s="86">
        <v>2900.0</v>
      </c>
      <c r="D22" s="8"/>
      <c r="F22" s="13"/>
      <c r="G22" s="63"/>
      <c r="H22" s="8"/>
      <c r="I22" s="7"/>
      <c r="O22" s="54"/>
      <c r="P22" s="55"/>
    </row>
    <row r="23" ht="15.75" customHeight="1">
      <c r="A23" s="90">
        <v>20.0</v>
      </c>
      <c r="B23" s="105" t="s">
        <v>179</v>
      </c>
      <c r="C23" s="86">
        <v>2900.0</v>
      </c>
      <c r="D23" s="8"/>
      <c r="F23" s="13"/>
      <c r="G23" s="63"/>
      <c r="H23" s="8"/>
      <c r="I23" s="7"/>
    </row>
    <row r="24" ht="15.75" customHeight="1">
      <c r="A24" s="90">
        <v>21.0</v>
      </c>
      <c r="B24" s="105" t="s">
        <v>472</v>
      </c>
      <c r="C24" s="86">
        <v>2900.0</v>
      </c>
      <c r="D24" s="8"/>
      <c r="F24" s="13"/>
      <c r="G24" s="63"/>
      <c r="H24" s="8"/>
      <c r="I24" s="7"/>
    </row>
    <row r="25" ht="15.75" customHeight="1">
      <c r="A25" s="90">
        <v>22.0</v>
      </c>
      <c r="B25" s="105" t="s">
        <v>473</v>
      </c>
      <c r="C25" s="86">
        <v>2900.0</v>
      </c>
      <c r="D25" s="8"/>
      <c r="F25" s="13"/>
      <c r="G25" s="63"/>
      <c r="H25" s="8"/>
      <c r="I25" s="7"/>
    </row>
    <row r="26" ht="15.75" customHeight="1">
      <c r="A26" s="90">
        <v>23.0</v>
      </c>
      <c r="B26" s="105" t="s">
        <v>474</v>
      </c>
      <c r="C26" s="86">
        <v>2900.0</v>
      </c>
      <c r="D26" s="108"/>
      <c r="F26" s="13"/>
      <c r="G26" s="63"/>
      <c r="H26" s="8"/>
      <c r="I26" s="7"/>
    </row>
    <row r="27" ht="15.75" customHeight="1">
      <c r="A27" s="90">
        <v>24.0</v>
      </c>
      <c r="B27" s="105" t="s">
        <v>475</v>
      </c>
      <c r="C27" s="86">
        <v>2900.0</v>
      </c>
      <c r="D27" s="8"/>
      <c r="F27" s="13"/>
      <c r="G27" s="63"/>
      <c r="H27" s="8"/>
      <c r="I27" s="7"/>
    </row>
    <row r="28" ht="15.75" customHeight="1">
      <c r="A28" s="90">
        <v>25.0</v>
      </c>
      <c r="B28" s="105" t="s">
        <v>476</v>
      </c>
      <c r="C28" s="86">
        <v>2900.0</v>
      </c>
      <c r="D28" s="8"/>
      <c r="F28" s="13"/>
      <c r="G28" s="63"/>
      <c r="H28" s="8"/>
      <c r="I28" s="7"/>
    </row>
    <row r="29" ht="15.75" customHeight="1">
      <c r="A29" s="90">
        <v>26.0</v>
      </c>
      <c r="B29" s="109" t="s">
        <v>477</v>
      </c>
      <c r="C29" s="86">
        <v>2900.0</v>
      </c>
      <c r="D29" s="8"/>
      <c r="F29" s="13"/>
      <c r="G29" s="63"/>
      <c r="H29" s="8"/>
      <c r="I29" s="7"/>
    </row>
    <row r="30" ht="15.75" customHeight="1">
      <c r="A30" s="90">
        <v>27.0</v>
      </c>
      <c r="B30" s="110" t="s">
        <v>328</v>
      </c>
      <c r="C30" s="86">
        <v>2900.0</v>
      </c>
      <c r="D30" s="8"/>
      <c r="F30" s="13"/>
      <c r="G30" s="63"/>
      <c r="H30" s="8"/>
      <c r="I30" s="7"/>
    </row>
    <row r="31" ht="15.75" customHeight="1">
      <c r="A31" s="90">
        <v>28.0</v>
      </c>
      <c r="B31" s="109" t="s">
        <v>182</v>
      </c>
      <c r="C31" s="86">
        <v>2900.0</v>
      </c>
      <c r="D31" s="8"/>
      <c r="F31" s="7"/>
      <c r="G31" s="7"/>
      <c r="H31" s="7"/>
      <c r="I31" s="7"/>
    </row>
    <row r="32" ht="15.75" customHeight="1">
      <c r="A32" s="90">
        <v>29.0</v>
      </c>
      <c r="B32" s="110" t="s">
        <v>478</v>
      </c>
      <c r="C32" s="86">
        <v>2900.0</v>
      </c>
      <c r="D32" s="8"/>
      <c r="F32" s="7"/>
      <c r="G32" s="7"/>
      <c r="H32" s="7"/>
      <c r="I32" s="7"/>
    </row>
    <row r="33" ht="15.75" customHeight="1">
      <c r="A33" s="90">
        <v>30.0</v>
      </c>
      <c r="B33" s="50" t="s">
        <v>303</v>
      </c>
      <c r="C33" s="86">
        <v>2900.0</v>
      </c>
      <c r="D33" s="8"/>
      <c r="F33" s="7"/>
      <c r="G33" s="7"/>
      <c r="H33" s="7"/>
      <c r="I33" s="7"/>
    </row>
    <row r="34" ht="15.75" customHeight="1">
      <c r="A34" s="90">
        <v>31.0</v>
      </c>
      <c r="B34" s="110" t="s">
        <v>274</v>
      </c>
      <c r="C34" s="86">
        <v>2900.0</v>
      </c>
      <c r="D34" s="8"/>
      <c r="F34" s="7"/>
      <c r="G34" s="7"/>
      <c r="H34" s="7"/>
      <c r="I34" s="7"/>
    </row>
    <row r="35" ht="15.75" customHeight="1">
      <c r="A35" s="92">
        <v>32.0</v>
      </c>
      <c r="B35" s="109" t="s">
        <v>466</v>
      </c>
      <c r="C35" s="86">
        <v>2900.0</v>
      </c>
      <c r="D35" s="11" t="s">
        <v>201</v>
      </c>
      <c r="F35" s="7"/>
      <c r="G35" s="7"/>
      <c r="H35" s="7"/>
      <c r="I35" s="7"/>
    </row>
    <row r="36" ht="15.75" customHeight="1">
      <c r="A36" s="92">
        <v>33.0</v>
      </c>
      <c r="B36" s="105" t="s">
        <v>353</v>
      </c>
      <c r="C36" s="86">
        <v>2900.0</v>
      </c>
      <c r="D36" s="11" t="s">
        <v>201</v>
      </c>
      <c r="F36" s="7"/>
      <c r="G36" s="7"/>
      <c r="H36" s="7"/>
      <c r="I36" s="7"/>
    </row>
    <row r="37" ht="15.75" customHeight="1">
      <c r="A37" s="92">
        <v>34.0</v>
      </c>
      <c r="B37" s="106" t="s">
        <v>467</v>
      </c>
      <c r="C37" s="86">
        <v>2900.0</v>
      </c>
      <c r="D37" s="11" t="s">
        <v>201</v>
      </c>
      <c r="F37" s="7"/>
      <c r="G37" s="7"/>
      <c r="H37" s="7"/>
      <c r="I37" s="7"/>
    </row>
    <row r="38" ht="15.75" customHeight="1">
      <c r="A38" s="92">
        <v>35.0</v>
      </c>
      <c r="B38" s="107" t="s">
        <v>151</v>
      </c>
      <c r="C38" s="111">
        <v>0.0</v>
      </c>
      <c r="D38" s="8"/>
      <c r="F38" s="7"/>
      <c r="G38" s="7"/>
      <c r="H38" s="7"/>
      <c r="I38" s="7"/>
    </row>
    <row r="39" ht="15.75" customHeight="1"/>
    <row r="40" ht="15.75" customHeight="1">
      <c r="A40" s="5"/>
      <c r="B40" s="66" t="s">
        <v>119</v>
      </c>
      <c r="C40" s="66">
        <f>SUM(C4:C38)</f>
        <v>98600</v>
      </c>
      <c r="D40" s="5"/>
      <c r="E40" s="5"/>
      <c r="F40" s="5"/>
      <c r="G40" s="66" t="s">
        <v>119</v>
      </c>
      <c r="H40" s="66">
        <f>SUM(H4:H38)</f>
        <v>90700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/>
    <row r="42" ht="15.75" customHeight="1">
      <c r="G42" s="67" t="s">
        <v>157</v>
      </c>
      <c r="H42" s="2">
        <f>C40-H40</f>
        <v>7900</v>
      </c>
      <c r="O42" s="54"/>
    </row>
    <row r="43" ht="15.75" customHeight="1">
      <c r="G43" s="68" t="s">
        <v>435</v>
      </c>
      <c r="H43" s="2">
        <f>H4</f>
        <v>10000</v>
      </c>
    </row>
    <row r="44" ht="15.75" customHeight="1">
      <c r="G44" s="69" t="s">
        <v>479</v>
      </c>
      <c r="H44" s="2">
        <f>H42+H43</f>
        <v>17900</v>
      </c>
    </row>
    <row r="45" ht="15.75" customHeight="1">
      <c r="P45" s="82"/>
    </row>
    <row r="46" ht="15.75" customHeight="1">
      <c r="P46" s="82"/>
    </row>
    <row r="47" ht="15.75" customHeight="1">
      <c r="P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O53" s="54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  <tableParts count="2"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4.0"/>
    <col customWidth="1" min="11" max="11" width="17.13"/>
    <col customWidth="1" min="15" max="15" width="20.13"/>
  </cols>
  <sheetData>
    <row r="1" ht="15.75" customHeight="1">
      <c r="A1" s="112" t="s">
        <v>480</v>
      </c>
      <c r="B1" s="34"/>
      <c r="C1" s="34"/>
      <c r="D1" s="34"/>
      <c r="E1" s="34"/>
      <c r="F1" s="34"/>
      <c r="G1" s="34"/>
      <c r="H1" s="34"/>
      <c r="I1" s="21"/>
      <c r="J1" s="113" t="s">
        <v>122</v>
      </c>
      <c r="K1" s="114" t="s">
        <v>481</v>
      </c>
      <c r="L1" s="115" t="s">
        <v>482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116" t="s">
        <v>11</v>
      </c>
      <c r="C4" s="111">
        <v>2650.0</v>
      </c>
      <c r="D4" s="8"/>
      <c r="F4" s="13">
        <v>45530.0</v>
      </c>
      <c r="G4" s="88" t="s">
        <v>175</v>
      </c>
      <c r="H4" s="117">
        <v>5000.0</v>
      </c>
      <c r="I4" s="7" t="s">
        <v>134</v>
      </c>
    </row>
    <row r="5" ht="15.75" customHeight="1">
      <c r="A5" s="8">
        <v>2.0</v>
      </c>
      <c r="B5" s="118" t="s">
        <v>483</v>
      </c>
      <c r="C5" s="119">
        <v>2650.0</v>
      </c>
      <c r="D5" s="120" t="s">
        <v>484</v>
      </c>
      <c r="F5" s="13">
        <v>45556.0</v>
      </c>
      <c r="G5" s="7" t="s">
        <v>139</v>
      </c>
      <c r="H5" s="8">
        <v>3370.0</v>
      </c>
      <c r="I5" s="7" t="s">
        <v>332</v>
      </c>
    </row>
    <row r="6" ht="15.75" customHeight="1">
      <c r="A6" s="8">
        <v>3.0</v>
      </c>
      <c r="B6" s="116" t="s">
        <v>49</v>
      </c>
      <c r="C6" s="111">
        <v>2650.0</v>
      </c>
      <c r="D6" s="8"/>
      <c r="F6" s="13">
        <v>45557.0</v>
      </c>
      <c r="G6" s="7" t="s">
        <v>289</v>
      </c>
      <c r="H6" s="8">
        <v>46500.0</v>
      </c>
      <c r="I6" s="7" t="s">
        <v>332</v>
      </c>
      <c r="J6" s="62" t="s">
        <v>485</v>
      </c>
    </row>
    <row r="7" ht="15.75" customHeight="1">
      <c r="A7" s="8">
        <v>4.0</v>
      </c>
      <c r="B7" s="108" t="s">
        <v>486</v>
      </c>
      <c r="C7" s="111">
        <v>2650.0</v>
      </c>
      <c r="D7" s="8"/>
      <c r="F7" s="13">
        <v>45558.0</v>
      </c>
      <c r="G7" s="7" t="s">
        <v>487</v>
      </c>
      <c r="H7" s="8">
        <v>2150.0</v>
      </c>
      <c r="I7" s="7" t="s">
        <v>332</v>
      </c>
      <c r="J7" s="62" t="s">
        <v>488</v>
      </c>
    </row>
    <row r="8" ht="15.75" customHeight="1">
      <c r="A8" s="8">
        <v>5.0</v>
      </c>
      <c r="B8" s="108" t="s">
        <v>52</v>
      </c>
      <c r="C8" s="111">
        <v>2650.0</v>
      </c>
      <c r="D8" s="8"/>
      <c r="F8" s="13">
        <v>45558.0</v>
      </c>
      <c r="G8" s="7" t="s">
        <v>489</v>
      </c>
      <c r="H8" s="8">
        <v>2150.0</v>
      </c>
      <c r="I8" s="7" t="s">
        <v>332</v>
      </c>
      <c r="O8" s="54"/>
      <c r="P8" s="55"/>
    </row>
    <row r="9" ht="15.75" customHeight="1">
      <c r="A9" s="8">
        <v>6.0</v>
      </c>
      <c r="B9" s="108" t="s">
        <v>490</v>
      </c>
      <c r="C9" s="111">
        <v>2650.0</v>
      </c>
      <c r="D9" s="8"/>
      <c r="F9" s="13">
        <v>45558.0</v>
      </c>
      <c r="G9" s="63" t="s">
        <v>439</v>
      </c>
      <c r="H9" s="8">
        <v>2150.0</v>
      </c>
      <c r="I9" s="7" t="s">
        <v>332</v>
      </c>
      <c r="L9" s="62"/>
      <c r="M9" s="62"/>
    </row>
    <row r="10" ht="15.75" customHeight="1">
      <c r="A10" s="8">
        <v>7.0</v>
      </c>
      <c r="B10" s="108" t="s">
        <v>387</v>
      </c>
      <c r="C10" s="111">
        <v>2650.0</v>
      </c>
      <c r="D10" s="8"/>
      <c r="F10" s="13">
        <v>45558.0</v>
      </c>
      <c r="G10" s="63" t="s">
        <v>414</v>
      </c>
      <c r="H10" s="8">
        <v>2500.0</v>
      </c>
      <c r="I10" s="7" t="s">
        <v>332</v>
      </c>
      <c r="L10" s="62"/>
      <c r="M10" s="62"/>
    </row>
    <row r="11" ht="15.75" customHeight="1">
      <c r="A11" s="8">
        <v>8.0</v>
      </c>
      <c r="B11" s="108" t="s">
        <v>491</v>
      </c>
      <c r="C11" s="111">
        <v>2650.0</v>
      </c>
      <c r="D11" s="8"/>
      <c r="F11" s="13"/>
      <c r="G11" s="63"/>
      <c r="H11" s="8"/>
      <c r="I11" s="7"/>
      <c r="L11" s="62"/>
      <c r="M11" s="62"/>
    </row>
    <row r="12" ht="15.75" customHeight="1">
      <c r="A12" s="8">
        <v>9.0</v>
      </c>
      <c r="B12" s="108" t="s">
        <v>492</v>
      </c>
      <c r="C12" s="111">
        <v>2650.0</v>
      </c>
      <c r="D12" s="8"/>
      <c r="F12" s="13"/>
      <c r="G12" s="63"/>
      <c r="H12" s="8"/>
      <c r="I12" s="7"/>
      <c r="L12" s="62"/>
      <c r="M12" s="62"/>
    </row>
    <row r="13" ht="15.75" customHeight="1">
      <c r="A13" s="8">
        <v>10.0</v>
      </c>
      <c r="B13" s="108" t="s">
        <v>493</v>
      </c>
      <c r="C13" s="111">
        <v>2650.0</v>
      </c>
      <c r="D13" s="8"/>
      <c r="F13" s="13"/>
      <c r="G13" s="63"/>
      <c r="H13" s="8"/>
      <c r="I13" s="7"/>
      <c r="L13" s="62"/>
      <c r="M13" s="62"/>
    </row>
    <row r="14" ht="15.75" customHeight="1">
      <c r="A14" s="8">
        <v>11.0</v>
      </c>
      <c r="B14" s="108" t="s">
        <v>203</v>
      </c>
      <c r="C14" s="111">
        <v>2650.0</v>
      </c>
      <c r="D14" s="8"/>
      <c r="F14" s="13"/>
      <c r="G14" s="63"/>
      <c r="H14" s="8"/>
      <c r="I14" s="7"/>
      <c r="L14" s="62"/>
      <c r="M14" s="62"/>
    </row>
    <row r="15" ht="15.75" customHeight="1">
      <c r="A15" s="90">
        <v>12.0</v>
      </c>
      <c r="B15" s="108" t="s">
        <v>494</v>
      </c>
      <c r="C15" s="111">
        <v>2650.0</v>
      </c>
      <c r="D15" s="90"/>
      <c r="F15" s="13"/>
      <c r="G15" s="63"/>
      <c r="H15" s="8"/>
      <c r="I15" s="7"/>
      <c r="L15" s="54"/>
      <c r="M15" s="54"/>
    </row>
    <row r="16" ht="15.75" customHeight="1">
      <c r="A16" s="90">
        <v>13.0</v>
      </c>
      <c r="B16" s="118" t="s">
        <v>392</v>
      </c>
      <c r="C16" s="119">
        <v>2650.0</v>
      </c>
      <c r="D16" s="120" t="s">
        <v>484</v>
      </c>
      <c r="F16" s="13"/>
      <c r="G16" s="63"/>
      <c r="H16" s="8"/>
      <c r="I16" s="7"/>
    </row>
    <row r="17" ht="15.75" customHeight="1">
      <c r="A17" s="90">
        <v>14.0</v>
      </c>
      <c r="B17" s="108" t="s">
        <v>323</v>
      </c>
      <c r="C17" s="111">
        <v>2650.0</v>
      </c>
      <c r="D17" s="90"/>
      <c r="F17" s="13"/>
      <c r="G17" s="63"/>
      <c r="H17" s="8"/>
      <c r="I17" s="7"/>
    </row>
    <row r="18" ht="15.75" customHeight="1">
      <c r="A18" s="90">
        <v>15.0</v>
      </c>
      <c r="B18" s="118" t="s">
        <v>303</v>
      </c>
      <c r="C18" s="119">
        <v>2650.0</v>
      </c>
      <c r="D18" s="120" t="s">
        <v>484</v>
      </c>
      <c r="F18" s="13"/>
      <c r="G18" s="63"/>
      <c r="H18" s="8"/>
      <c r="I18" s="7"/>
    </row>
    <row r="19" ht="15.75" customHeight="1">
      <c r="A19" s="90">
        <v>16.0</v>
      </c>
      <c r="B19" s="108" t="s">
        <v>495</v>
      </c>
      <c r="C19" s="111">
        <v>2650.0</v>
      </c>
      <c r="D19" s="90"/>
      <c r="F19" s="13"/>
      <c r="G19" s="63"/>
      <c r="H19" s="8"/>
      <c r="I19" s="7"/>
      <c r="O19" s="54"/>
      <c r="P19" s="55"/>
    </row>
    <row r="20" ht="15.75" customHeight="1">
      <c r="A20" s="90">
        <v>17.0</v>
      </c>
      <c r="B20" s="108" t="s">
        <v>338</v>
      </c>
      <c r="C20" s="111">
        <v>2650.0</v>
      </c>
      <c r="D20" s="90"/>
      <c r="F20" s="13"/>
      <c r="G20" s="63"/>
      <c r="H20" s="8"/>
      <c r="I20" s="7"/>
      <c r="O20" s="54"/>
      <c r="P20" s="55"/>
    </row>
    <row r="21" ht="15.75" customHeight="1">
      <c r="A21" s="90">
        <v>18.0</v>
      </c>
      <c r="B21" s="108" t="s">
        <v>496</v>
      </c>
      <c r="C21" s="111">
        <v>2650.0</v>
      </c>
      <c r="D21" s="90"/>
      <c r="F21" s="13"/>
      <c r="G21" s="63"/>
      <c r="H21" s="8"/>
      <c r="I21" s="7"/>
      <c r="O21" s="54"/>
      <c r="P21" s="55"/>
    </row>
    <row r="22" ht="15.75" customHeight="1">
      <c r="A22" s="90">
        <v>19.0</v>
      </c>
      <c r="B22" s="108" t="s">
        <v>192</v>
      </c>
      <c r="C22" s="111">
        <v>2650.0</v>
      </c>
      <c r="D22" s="90"/>
      <c r="F22" s="13"/>
      <c r="G22" s="63"/>
      <c r="H22" s="8"/>
      <c r="I22" s="7"/>
      <c r="O22" s="54"/>
      <c r="P22" s="55"/>
    </row>
    <row r="23" ht="15.75" customHeight="1">
      <c r="A23" s="90">
        <v>20.0</v>
      </c>
      <c r="B23" s="108" t="s">
        <v>269</v>
      </c>
      <c r="C23" s="111">
        <v>2650.0</v>
      </c>
      <c r="D23" s="90"/>
      <c r="F23" s="13"/>
      <c r="G23" s="63"/>
      <c r="H23" s="8"/>
      <c r="I23" s="7"/>
    </row>
    <row r="24" ht="15.75" customHeight="1">
      <c r="A24" s="90">
        <v>21.0</v>
      </c>
      <c r="B24" s="108" t="s">
        <v>497</v>
      </c>
      <c r="C24" s="111">
        <v>2650.0</v>
      </c>
      <c r="D24" s="90"/>
      <c r="F24" s="13"/>
      <c r="G24" s="63"/>
      <c r="H24" s="8"/>
      <c r="I24" s="7"/>
    </row>
    <row r="25" ht="15.75" customHeight="1">
      <c r="A25" s="90">
        <v>22.0</v>
      </c>
      <c r="B25" s="108" t="s">
        <v>191</v>
      </c>
      <c r="C25" s="111">
        <v>2650.0</v>
      </c>
      <c r="D25" s="90"/>
      <c r="F25" s="13"/>
      <c r="G25" s="63"/>
      <c r="H25" s="8"/>
      <c r="I25" s="7"/>
    </row>
    <row r="26" ht="15.75" customHeight="1">
      <c r="A26" s="90">
        <v>23.0</v>
      </c>
      <c r="B26" s="108" t="s">
        <v>327</v>
      </c>
      <c r="C26" s="111">
        <v>2650.0</v>
      </c>
      <c r="D26" s="108"/>
      <c r="F26" s="13"/>
      <c r="G26" s="63"/>
      <c r="H26" s="8"/>
      <c r="I26" s="7"/>
    </row>
    <row r="27" ht="15.75" customHeight="1">
      <c r="A27" s="90">
        <v>24.0</v>
      </c>
      <c r="B27" s="108" t="s">
        <v>198</v>
      </c>
      <c r="C27" s="111">
        <v>1950.0</v>
      </c>
      <c r="D27" s="121" t="s">
        <v>498</v>
      </c>
      <c r="F27" s="13"/>
      <c r="G27" s="63"/>
      <c r="H27" s="8"/>
      <c r="I27" s="7"/>
    </row>
    <row r="28" ht="15.75" customHeight="1">
      <c r="A28" s="90">
        <v>25.0</v>
      </c>
      <c r="B28" s="108" t="s">
        <v>465</v>
      </c>
      <c r="C28" s="111">
        <v>1950.0</v>
      </c>
      <c r="D28" s="121" t="s">
        <v>498</v>
      </c>
      <c r="F28" s="13"/>
      <c r="G28" s="63"/>
      <c r="H28" s="8"/>
      <c r="I28" s="7"/>
    </row>
    <row r="29" ht="15.75" customHeight="1">
      <c r="A29" s="90">
        <v>26.0</v>
      </c>
      <c r="B29" s="108" t="s">
        <v>431</v>
      </c>
      <c r="C29" s="111">
        <v>1950.0</v>
      </c>
      <c r="D29" s="121" t="s">
        <v>498</v>
      </c>
      <c r="F29" s="13"/>
      <c r="G29" s="63"/>
      <c r="H29" s="8"/>
      <c r="I29" s="7"/>
    </row>
    <row r="30" ht="15.75" customHeight="1">
      <c r="A30" s="90">
        <v>27.0</v>
      </c>
      <c r="B30" s="108" t="s">
        <v>236</v>
      </c>
      <c r="C30" s="111">
        <v>1950.0</v>
      </c>
      <c r="D30" s="121" t="s">
        <v>498</v>
      </c>
      <c r="F30" s="13"/>
      <c r="G30" s="63"/>
      <c r="H30" s="8"/>
      <c r="I30" s="7"/>
    </row>
    <row r="31" ht="15.75" customHeight="1">
      <c r="A31" s="90">
        <v>28.0</v>
      </c>
      <c r="B31" s="108" t="s">
        <v>499</v>
      </c>
      <c r="C31" s="111">
        <v>1950.0</v>
      </c>
      <c r="D31" s="121" t="s">
        <v>498</v>
      </c>
      <c r="F31" s="7"/>
      <c r="G31" s="7"/>
      <c r="H31" s="7"/>
      <c r="I31" s="7"/>
    </row>
    <row r="32" ht="15.75" customHeight="1">
      <c r="A32" s="90">
        <v>29.0</v>
      </c>
      <c r="B32" s="63" t="s">
        <v>151</v>
      </c>
      <c r="C32" s="111">
        <v>0.0</v>
      </c>
      <c r="D32" s="8"/>
      <c r="F32" s="7"/>
      <c r="G32" s="7"/>
      <c r="H32" s="7"/>
      <c r="I32" s="7"/>
    </row>
    <row r="33" ht="15.75" customHeight="1"/>
    <row r="34" ht="15.75" customHeight="1">
      <c r="A34" s="5"/>
      <c r="B34" s="66" t="s">
        <v>119</v>
      </c>
      <c r="C34" s="66">
        <f>SUM(C4:C32)</f>
        <v>70700</v>
      </c>
      <c r="D34" s="5"/>
      <c r="E34" s="5"/>
      <c r="F34" s="5"/>
      <c r="G34" s="66" t="s">
        <v>119</v>
      </c>
      <c r="H34" s="66">
        <f>SUM(H4:H32)</f>
        <v>63820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/>
    <row r="36" ht="15.75" customHeight="1">
      <c r="G36" s="67" t="s">
        <v>157</v>
      </c>
      <c r="H36" s="2">
        <f>C34-H34</f>
        <v>6880</v>
      </c>
      <c r="O36" s="54"/>
    </row>
    <row r="37" ht="15.75" customHeight="1">
      <c r="G37" s="122" t="s">
        <v>230</v>
      </c>
      <c r="H37" s="2">
        <f>H4</f>
        <v>5000</v>
      </c>
    </row>
    <row r="38" ht="15.75" customHeight="1">
      <c r="G38" s="123" t="s">
        <v>343</v>
      </c>
      <c r="H38" s="2">
        <f>H36+H37</f>
        <v>11880</v>
      </c>
    </row>
    <row r="39" ht="15.75" customHeight="1">
      <c r="P39" s="82"/>
    </row>
    <row r="40" ht="15.75" customHeight="1">
      <c r="P40" s="82"/>
    </row>
    <row r="41" ht="15.75" customHeight="1">
      <c r="P41" s="8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O47" s="5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4.0"/>
    <col customWidth="1" min="11" max="11" width="17.13"/>
    <col customWidth="1" min="15" max="15" width="20.13"/>
  </cols>
  <sheetData>
    <row r="1" ht="15.75" customHeight="1">
      <c r="A1" s="112" t="s">
        <v>500</v>
      </c>
      <c r="B1" s="34"/>
      <c r="C1" s="34"/>
      <c r="D1" s="34"/>
      <c r="E1" s="34"/>
      <c r="F1" s="34"/>
      <c r="G1" s="34"/>
      <c r="H1" s="34"/>
      <c r="I1" s="21"/>
      <c r="J1" s="113" t="s">
        <v>122</v>
      </c>
      <c r="K1" s="114" t="s">
        <v>501</v>
      </c>
      <c r="L1" s="114">
        <v>9.019355997E9</v>
      </c>
    </row>
    <row r="2" ht="15.75" customHeight="1">
      <c r="A2" s="38" t="s">
        <v>124</v>
      </c>
      <c r="B2" s="34"/>
      <c r="C2" s="34"/>
      <c r="D2" s="21"/>
      <c r="E2" s="5"/>
      <c r="F2" s="39" t="s">
        <v>125</v>
      </c>
      <c r="G2" s="34"/>
      <c r="H2" s="34"/>
      <c r="I2" s="21"/>
    </row>
    <row r="3" ht="15.75" customHeight="1">
      <c r="A3" s="40" t="s">
        <v>126</v>
      </c>
      <c r="B3" s="41" t="s">
        <v>127</v>
      </c>
      <c r="C3" s="41" t="s">
        <v>128</v>
      </c>
      <c r="D3" s="41" t="s">
        <v>6</v>
      </c>
      <c r="E3" s="5"/>
      <c r="F3" s="41" t="s">
        <v>0</v>
      </c>
      <c r="G3" s="41" t="s">
        <v>129</v>
      </c>
      <c r="H3" s="41" t="s">
        <v>130</v>
      </c>
      <c r="I3" s="41" t="s">
        <v>6</v>
      </c>
    </row>
    <row r="4" ht="15.75" customHeight="1">
      <c r="A4" s="8">
        <v>1.0</v>
      </c>
      <c r="B4" s="7" t="s">
        <v>288</v>
      </c>
      <c r="C4" s="111">
        <v>3900.0</v>
      </c>
      <c r="D4" s="8"/>
      <c r="F4" s="13">
        <v>45500.0</v>
      </c>
      <c r="G4" s="88" t="s">
        <v>175</v>
      </c>
      <c r="H4" s="117">
        <v>10000.0</v>
      </c>
      <c r="I4" s="7" t="s">
        <v>134</v>
      </c>
    </row>
    <row r="5" ht="15.75" customHeight="1">
      <c r="A5" s="8">
        <v>2.0</v>
      </c>
      <c r="B5" s="7" t="s">
        <v>193</v>
      </c>
      <c r="C5" s="111">
        <v>3900.0</v>
      </c>
      <c r="D5" s="8"/>
      <c r="F5" s="13">
        <v>45519.0</v>
      </c>
      <c r="G5" s="7" t="s">
        <v>139</v>
      </c>
      <c r="H5" s="8">
        <v>1045.0</v>
      </c>
      <c r="I5" s="7" t="s">
        <v>134</v>
      </c>
    </row>
    <row r="6" ht="15.75" customHeight="1">
      <c r="A6" s="8">
        <v>3.0</v>
      </c>
      <c r="B6" s="7" t="s">
        <v>36</v>
      </c>
      <c r="C6" s="111">
        <v>3900.0</v>
      </c>
      <c r="D6" s="8"/>
      <c r="F6" s="13">
        <v>45521.0</v>
      </c>
      <c r="G6" s="7" t="s">
        <v>289</v>
      </c>
      <c r="H6" s="8">
        <v>26000.0</v>
      </c>
      <c r="I6" s="7" t="s">
        <v>134</v>
      </c>
    </row>
    <row r="7" ht="15.75" customHeight="1">
      <c r="A7" s="8">
        <v>4.0</v>
      </c>
      <c r="B7" s="16" t="s">
        <v>49</v>
      </c>
      <c r="C7" s="111">
        <v>3900.0</v>
      </c>
      <c r="D7" s="8"/>
      <c r="F7" s="13"/>
      <c r="G7" s="7"/>
      <c r="H7" s="8"/>
      <c r="I7" s="7"/>
    </row>
    <row r="8" ht="15.75" customHeight="1">
      <c r="A8" s="8">
        <v>5.0</v>
      </c>
      <c r="B8" s="7" t="s">
        <v>182</v>
      </c>
      <c r="C8" s="111">
        <v>3900.0</v>
      </c>
      <c r="D8" s="8"/>
      <c r="F8" s="13"/>
      <c r="G8" s="7"/>
      <c r="H8" s="8"/>
      <c r="I8" s="7"/>
      <c r="O8" s="54"/>
      <c r="P8" s="55"/>
    </row>
    <row r="9" ht="15.75" customHeight="1">
      <c r="A9" s="8">
        <v>6.0</v>
      </c>
      <c r="B9" s="7" t="s">
        <v>393</v>
      </c>
      <c r="C9" s="111">
        <v>3900.0</v>
      </c>
      <c r="D9" s="8"/>
      <c r="F9" s="13"/>
      <c r="G9" s="63"/>
      <c r="H9" s="8"/>
      <c r="I9" s="7"/>
      <c r="L9" s="62"/>
      <c r="M9" s="62"/>
    </row>
    <row r="10" ht="15.75" customHeight="1">
      <c r="A10" s="8">
        <v>7.0</v>
      </c>
      <c r="B10" s="7" t="s">
        <v>502</v>
      </c>
      <c r="C10" s="111">
        <v>3900.0</v>
      </c>
      <c r="D10" s="8"/>
      <c r="F10" s="13"/>
      <c r="G10" s="63"/>
      <c r="H10" s="8"/>
      <c r="I10" s="7"/>
      <c r="L10" s="62"/>
      <c r="M10" s="62"/>
    </row>
    <row r="11" ht="15.75" customHeight="1">
      <c r="A11" s="8">
        <v>8.0</v>
      </c>
      <c r="B11" s="7" t="s">
        <v>493</v>
      </c>
      <c r="C11" s="111">
        <v>3900.0</v>
      </c>
      <c r="D11" s="8"/>
      <c r="F11" s="13"/>
      <c r="G11" s="63"/>
      <c r="H11" s="8"/>
      <c r="I11" s="7"/>
      <c r="L11" s="62"/>
      <c r="M11" s="62"/>
    </row>
    <row r="12" ht="15.75" customHeight="1">
      <c r="A12" s="8">
        <v>9.0</v>
      </c>
      <c r="B12" s="7" t="s">
        <v>503</v>
      </c>
      <c r="C12" s="111">
        <v>3900.0</v>
      </c>
      <c r="D12" s="8"/>
      <c r="F12" s="13"/>
      <c r="G12" s="63"/>
      <c r="H12" s="8"/>
      <c r="I12" s="7"/>
      <c r="L12" s="62"/>
      <c r="M12" s="62"/>
    </row>
    <row r="13" ht="15.75" customHeight="1">
      <c r="A13" s="8">
        <v>10.0</v>
      </c>
      <c r="B13" s="7" t="s">
        <v>504</v>
      </c>
      <c r="C13" s="111">
        <v>3900.0</v>
      </c>
      <c r="D13" s="8"/>
      <c r="F13" s="13"/>
      <c r="G13" s="63"/>
      <c r="H13" s="8"/>
      <c r="I13" s="7"/>
      <c r="L13" s="62"/>
      <c r="M13" s="62"/>
    </row>
    <row r="14" ht="15.75" customHeight="1">
      <c r="A14" s="8">
        <v>11.0</v>
      </c>
      <c r="B14" s="7" t="s">
        <v>47</v>
      </c>
      <c r="C14" s="111">
        <v>3900.0</v>
      </c>
      <c r="D14" s="8"/>
      <c r="F14" s="13"/>
      <c r="G14" s="63"/>
      <c r="H14" s="8"/>
      <c r="I14" s="7"/>
      <c r="L14" s="62"/>
      <c r="M14" s="62"/>
    </row>
    <row r="15" ht="15.75" customHeight="1">
      <c r="A15" s="90">
        <v>12.0</v>
      </c>
      <c r="B15" s="63" t="s">
        <v>15</v>
      </c>
      <c r="C15" s="111">
        <v>3900.0</v>
      </c>
      <c r="D15" s="90"/>
      <c r="F15" s="13"/>
      <c r="G15" s="63"/>
      <c r="H15" s="8"/>
      <c r="I15" s="7"/>
      <c r="L15" s="54"/>
      <c r="M15" s="54"/>
    </row>
    <row r="16" ht="15.75" customHeight="1">
      <c r="A16" s="90"/>
      <c r="B16" s="63"/>
      <c r="C16" s="111"/>
      <c r="D16" s="90"/>
      <c r="F16" s="13"/>
      <c r="G16" s="63"/>
      <c r="H16" s="8"/>
      <c r="I16" s="7"/>
    </row>
    <row r="17" ht="15.75" customHeight="1">
      <c r="A17" s="90"/>
      <c r="B17" s="63"/>
      <c r="C17" s="111"/>
      <c r="D17" s="90"/>
      <c r="F17" s="13"/>
      <c r="G17" s="63"/>
      <c r="H17" s="8"/>
      <c r="I17" s="7"/>
    </row>
    <row r="18" ht="15.75" customHeight="1">
      <c r="A18" s="90"/>
      <c r="B18" s="63"/>
      <c r="C18" s="111"/>
      <c r="D18" s="90"/>
      <c r="F18" s="13"/>
      <c r="G18" s="63"/>
      <c r="H18" s="8"/>
      <c r="I18" s="7"/>
    </row>
    <row r="19" ht="15.75" customHeight="1">
      <c r="A19" s="90"/>
      <c r="B19" s="63"/>
      <c r="C19" s="111"/>
      <c r="D19" s="90"/>
      <c r="F19" s="13"/>
      <c r="G19" s="63"/>
      <c r="H19" s="8"/>
      <c r="I19" s="7"/>
      <c r="O19" s="54"/>
      <c r="P19" s="55"/>
    </row>
    <row r="20" ht="15.75" customHeight="1">
      <c r="A20" s="90"/>
      <c r="B20" s="63"/>
      <c r="C20" s="111"/>
      <c r="D20" s="90"/>
      <c r="F20" s="13"/>
      <c r="G20" s="63"/>
      <c r="H20" s="8"/>
      <c r="I20" s="7"/>
    </row>
    <row r="21" ht="15.75" customHeight="1">
      <c r="A21" s="90"/>
      <c r="B21" s="63"/>
      <c r="C21" s="111"/>
      <c r="D21" s="90"/>
      <c r="F21" s="13"/>
      <c r="G21" s="63"/>
      <c r="H21" s="8"/>
      <c r="I21" s="7"/>
    </row>
    <row r="22" ht="15.75" customHeight="1">
      <c r="A22" s="90"/>
      <c r="B22" s="63"/>
      <c r="C22" s="111"/>
      <c r="D22" s="90"/>
      <c r="F22" s="13"/>
      <c r="G22" s="63"/>
      <c r="H22" s="8"/>
      <c r="I22" s="7"/>
    </row>
    <row r="23" ht="15.75" customHeight="1">
      <c r="A23" s="8"/>
      <c r="B23" s="7"/>
      <c r="C23" s="111"/>
      <c r="D23" s="8"/>
      <c r="F23" s="13"/>
      <c r="G23" s="63"/>
      <c r="H23" s="8"/>
      <c r="I23" s="7"/>
    </row>
    <row r="24" ht="15.75" customHeight="1">
      <c r="A24" s="8"/>
      <c r="B24" s="7"/>
      <c r="C24" s="111"/>
      <c r="D24" s="8"/>
      <c r="F24" s="13"/>
      <c r="G24" s="63"/>
      <c r="H24" s="8"/>
      <c r="I24" s="7"/>
    </row>
    <row r="25" ht="15.75" customHeight="1">
      <c r="A25" s="8"/>
      <c r="B25" s="63"/>
      <c r="C25" s="111"/>
      <c r="D25" s="8"/>
      <c r="F25" s="13"/>
      <c r="G25" s="63"/>
      <c r="H25" s="8"/>
      <c r="I25" s="7"/>
    </row>
    <row r="26" ht="15.75" customHeight="1">
      <c r="A26" s="8"/>
      <c r="B26" s="7"/>
      <c r="C26" s="111"/>
      <c r="D26" s="8"/>
      <c r="F26" s="13"/>
      <c r="G26" s="63"/>
      <c r="H26" s="8"/>
      <c r="I26" s="7"/>
    </row>
    <row r="27" ht="15.75" customHeight="1">
      <c r="A27" s="8"/>
      <c r="B27" s="63"/>
      <c r="C27" s="111"/>
      <c r="D27" s="8"/>
      <c r="F27" s="13"/>
      <c r="G27" s="63"/>
      <c r="H27" s="8"/>
      <c r="I27" s="7"/>
    </row>
    <row r="28" ht="15.75" customHeight="1">
      <c r="A28" s="8"/>
      <c r="B28" s="63"/>
      <c r="C28" s="111"/>
      <c r="D28" s="8"/>
      <c r="F28" s="7"/>
      <c r="G28" s="7"/>
      <c r="H28" s="7"/>
      <c r="I28" s="7"/>
    </row>
    <row r="29" ht="15.75" customHeight="1">
      <c r="A29" s="8"/>
      <c r="B29" s="63"/>
      <c r="C29" s="111"/>
      <c r="D29" s="8"/>
      <c r="F29" s="7"/>
      <c r="G29" s="7"/>
      <c r="H29" s="7"/>
      <c r="I29" s="7"/>
    </row>
    <row r="30" ht="15.75" customHeight="1"/>
    <row r="31" ht="15.75" customHeight="1">
      <c r="A31" s="5"/>
      <c r="B31" s="66" t="s">
        <v>119</v>
      </c>
      <c r="C31" s="66">
        <f>SUM(C4:C29)</f>
        <v>46800</v>
      </c>
      <c r="D31" s="5"/>
      <c r="E31" s="5"/>
      <c r="F31" s="5"/>
      <c r="G31" s="66" t="s">
        <v>119</v>
      </c>
      <c r="H31" s="66">
        <f>SUM(H4:H29)</f>
        <v>37045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/>
    <row r="33" ht="15.75" customHeight="1">
      <c r="G33" s="67" t="s">
        <v>157</v>
      </c>
      <c r="H33" s="2">
        <f>C31-H31</f>
        <v>9755</v>
      </c>
      <c r="O33" s="54"/>
    </row>
    <row r="34" ht="15.75" customHeight="1">
      <c r="G34" s="122" t="s">
        <v>230</v>
      </c>
      <c r="H34" s="2">
        <f>H4</f>
        <v>10000</v>
      </c>
    </row>
    <row r="35" ht="15.75" customHeight="1">
      <c r="G35" s="123" t="s">
        <v>159</v>
      </c>
      <c r="H35" s="2">
        <f>H33+H34</f>
        <v>19755</v>
      </c>
    </row>
    <row r="36" ht="15.75" customHeight="1">
      <c r="P36" s="82"/>
    </row>
    <row r="37" ht="15.75" customHeight="1">
      <c r="P37" s="82"/>
    </row>
    <row r="38" ht="15.75" customHeight="1">
      <c r="P38" s="8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O44" s="5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D2"/>
    <mergeCell ref="F2:I2"/>
  </mergeCells>
  <hyperlinks>
    <hyperlink r:id="rId1" ref="J1"/>
    <hyperlink r:id="rId2" ref="A3"/>
  </hyperlinks>
  <printOptions/>
  <pageMargins bottom="0.75" footer="0.0" header="0.0" left="0.7" right="0.7" top="0.75"/>
  <pageSetup orientation="landscape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38"/>
    <col customWidth="1" min="3" max="4" width="12.63"/>
    <col customWidth="1" min="5" max="5" width="3.38"/>
    <col customWidth="1" min="6" max="6" width="22.63"/>
    <col customWidth="1" min="7" max="7" width="24.0"/>
    <col customWidth="1" min="15" max="15" width="20.13"/>
  </cols>
  <sheetData>
    <row r="1" ht="15.75" customHeight="1">
      <c r="A1" s="112" t="s">
        <v>505</v>
      </c>
      <c r="B1" s="34"/>
      <c r="C1" s="34"/>
      <c r="D1" s="34"/>
      <c r="E1" s="34"/>
      <c r="F1" s="34"/>
      <c r="G1" s="34"/>
      <c r="H1" s="34"/>
      <c r="I1" s="21"/>
    </row>
    <row r="2" ht="15.75" customHeight="1">
      <c r="A2" s="124" t="s">
        <v>124</v>
      </c>
      <c r="B2" s="34"/>
      <c r="C2" s="34"/>
      <c r="D2" s="21"/>
      <c r="F2" s="125" t="s">
        <v>125</v>
      </c>
      <c r="G2" s="34"/>
      <c r="H2" s="34"/>
      <c r="I2" s="21"/>
    </row>
    <row r="3" ht="15.75" customHeight="1">
      <c r="A3" s="126" t="s">
        <v>126</v>
      </c>
      <c r="B3" s="127" t="s">
        <v>127</v>
      </c>
      <c r="C3" s="127" t="s">
        <v>128</v>
      </c>
      <c r="D3" s="127" t="s">
        <v>6</v>
      </c>
      <c r="F3" s="127" t="s">
        <v>0</v>
      </c>
      <c r="G3" s="127" t="s">
        <v>129</v>
      </c>
      <c r="H3" s="127" t="s">
        <v>130</v>
      </c>
      <c r="I3" s="127" t="s">
        <v>6</v>
      </c>
    </row>
    <row r="4" ht="15.75" customHeight="1">
      <c r="A4" s="8">
        <v>1.0</v>
      </c>
      <c r="B4" s="16" t="s">
        <v>11</v>
      </c>
      <c r="C4" s="111">
        <v>2250.0</v>
      </c>
      <c r="D4" s="8"/>
      <c r="F4" s="13">
        <v>45476.0</v>
      </c>
      <c r="G4" s="88" t="s">
        <v>175</v>
      </c>
      <c r="H4" s="117">
        <v>5000.0</v>
      </c>
      <c r="I4" s="7" t="s">
        <v>134</v>
      </c>
    </row>
    <row r="5" ht="15.75" customHeight="1">
      <c r="A5" s="8">
        <v>2.0</v>
      </c>
      <c r="B5" s="7" t="s">
        <v>39</v>
      </c>
      <c r="C5" s="111">
        <v>2250.0</v>
      </c>
      <c r="D5" s="8"/>
      <c r="F5" s="13">
        <v>45495.0</v>
      </c>
      <c r="G5" s="63" t="s">
        <v>506</v>
      </c>
      <c r="H5" s="8">
        <v>1750.0</v>
      </c>
      <c r="I5" s="7" t="s">
        <v>424</v>
      </c>
    </row>
    <row r="6" ht="15.75" customHeight="1">
      <c r="A6" s="8">
        <v>3.0</v>
      </c>
      <c r="B6" s="7" t="s">
        <v>240</v>
      </c>
      <c r="C6" s="111">
        <v>2250.0</v>
      </c>
      <c r="D6" s="8"/>
      <c r="F6" s="13">
        <v>45495.0</v>
      </c>
      <c r="G6" s="7" t="s">
        <v>507</v>
      </c>
      <c r="H6" s="8">
        <v>1750.0</v>
      </c>
      <c r="I6" s="7" t="s">
        <v>424</v>
      </c>
    </row>
    <row r="7" ht="15.75" customHeight="1">
      <c r="A7" s="8">
        <v>4.0</v>
      </c>
      <c r="B7" s="7" t="s">
        <v>508</v>
      </c>
      <c r="C7" s="111">
        <v>2250.0</v>
      </c>
      <c r="D7" s="8"/>
      <c r="F7" s="13">
        <v>45495.0</v>
      </c>
      <c r="G7" s="7" t="s">
        <v>360</v>
      </c>
      <c r="H7" s="8">
        <v>29500.0</v>
      </c>
      <c r="I7" s="7" t="s">
        <v>424</v>
      </c>
    </row>
    <row r="8" ht="15.75" customHeight="1">
      <c r="A8" s="8">
        <v>5.0</v>
      </c>
      <c r="B8" s="16" t="s">
        <v>36</v>
      </c>
      <c r="C8" s="111">
        <v>2250.0</v>
      </c>
      <c r="D8" s="8"/>
      <c r="F8" s="13">
        <v>45495.0</v>
      </c>
      <c r="G8" s="7" t="s">
        <v>509</v>
      </c>
      <c r="H8" s="8">
        <v>6875.0</v>
      </c>
      <c r="I8" s="7" t="s">
        <v>424</v>
      </c>
      <c r="O8" s="54" t="s">
        <v>510</v>
      </c>
      <c r="P8" s="55">
        <f>P15/22</f>
        <v>135.2272727</v>
      </c>
    </row>
    <row r="9" ht="15.75" customHeight="1">
      <c r="A9" s="8">
        <v>6.0</v>
      </c>
      <c r="B9" s="7" t="s">
        <v>193</v>
      </c>
      <c r="C9" s="111">
        <v>2250.0</v>
      </c>
      <c r="D9" s="8"/>
      <c r="F9" s="13">
        <v>45495.0</v>
      </c>
      <c r="G9" s="63" t="s">
        <v>511</v>
      </c>
      <c r="H9" s="8">
        <v>910.0</v>
      </c>
      <c r="I9" s="7" t="s">
        <v>424</v>
      </c>
      <c r="L9" s="98" t="s">
        <v>512</v>
      </c>
      <c r="M9" s="98">
        <v>1500.0</v>
      </c>
      <c r="O9" s="62" t="s">
        <v>513</v>
      </c>
      <c r="P9" s="62">
        <f>180*5</f>
        <v>900</v>
      </c>
    </row>
    <row r="10" ht="15.75" customHeight="1">
      <c r="A10" s="8">
        <v>7.0</v>
      </c>
      <c r="B10" s="7" t="s">
        <v>493</v>
      </c>
      <c r="C10" s="111">
        <v>2250.0</v>
      </c>
      <c r="D10" s="8"/>
      <c r="F10" s="13">
        <v>45495.0</v>
      </c>
      <c r="G10" s="63" t="s">
        <v>313</v>
      </c>
      <c r="H10" s="8">
        <v>2500.0</v>
      </c>
      <c r="I10" s="7" t="s">
        <v>424</v>
      </c>
      <c r="L10" s="98" t="s">
        <v>151</v>
      </c>
      <c r="M10" s="98">
        <v>150.0</v>
      </c>
      <c r="O10" s="62" t="s">
        <v>514</v>
      </c>
      <c r="P10" s="62">
        <f>15*25</f>
        <v>375</v>
      </c>
    </row>
    <row r="11" ht="15.75" customHeight="1">
      <c r="A11" s="8">
        <v>8.0</v>
      </c>
      <c r="B11" s="7" t="s">
        <v>269</v>
      </c>
      <c r="C11" s="111">
        <v>2250.0</v>
      </c>
      <c r="D11" s="8"/>
      <c r="F11" s="13">
        <v>45494.0</v>
      </c>
      <c r="G11" s="63" t="s">
        <v>139</v>
      </c>
      <c r="H11" s="8">
        <v>2880.0</v>
      </c>
      <c r="I11" s="7" t="s">
        <v>424</v>
      </c>
      <c r="L11" s="98" t="s">
        <v>169</v>
      </c>
      <c r="M11" s="98">
        <v>150.0</v>
      </c>
      <c r="O11" s="62" t="s">
        <v>515</v>
      </c>
      <c r="P11" s="62">
        <f>50*4</f>
        <v>200</v>
      </c>
    </row>
    <row r="12" ht="15.75" customHeight="1">
      <c r="A12" s="8">
        <v>9.0</v>
      </c>
      <c r="B12" s="16" t="s">
        <v>49</v>
      </c>
      <c r="C12" s="111">
        <v>2250.0</v>
      </c>
      <c r="D12" s="8"/>
      <c r="F12" s="13"/>
      <c r="G12" s="63"/>
      <c r="H12" s="8"/>
      <c r="I12" s="7"/>
      <c r="L12" s="98" t="s">
        <v>139</v>
      </c>
      <c r="M12" s="98">
        <v>150.0</v>
      </c>
      <c r="O12" s="62" t="s">
        <v>516</v>
      </c>
      <c r="P12" s="62">
        <f t="shared" ref="P12:P13" si="1">250*3</f>
        <v>750</v>
      </c>
    </row>
    <row r="13" ht="15.75" customHeight="1">
      <c r="A13" s="8">
        <v>10.0</v>
      </c>
      <c r="B13" s="7" t="s">
        <v>52</v>
      </c>
      <c r="C13" s="111">
        <v>2250.0</v>
      </c>
      <c r="D13" s="8"/>
      <c r="F13" s="13"/>
      <c r="G13" s="63"/>
      <c r="H13" s="8"/>
      <c r="I13" s="7"/>
      <c r="L13" s="98" t="s">
        <v>517</v>
      </c>
      <c r="M13" s="98">
        <v>165.0</v>
      </c>
      <c r="O13" s="62" t="s">
        <v>518</v>
      </c>
      <c r="P13" s="62">
        <f t="shared" si="1"/>
        <v>750</v>
      </c>
    </row>
    <row r="14" ht="15.75" customHeight="1">
      <c r="A14" s="8">
        <v>11.0</v>
      </c>
      <c r="B14" s="7" t="s">
        <v>519</v>
      </c>
      <c r="C14" s="111">
        <v>2250.0</v>
      </c>
      <c r="D14" s="8"/>
      <c r="F14" s="13"/>
      <c r="G14" s="63"/>
      <c r="H14" s="8"/>
      <c r="I14" s="7"/>
      <c r="L14" s="98" t="s">
        <v>156</v>
      </c>
      <c r="M14" s="98">
        <v>135.0</v>
      </c>
    </row>
    <row r="15" ht="15.75" customHeight="1">
      <c r="A15" s="90">
        <v>12.0</v>
      </c>
      <c r="B15" s="63" t="s">
        <v>520</v>
      </c>
      <c r="C15" s="111">
        <v>2250.0</v>
      </c>
      <c r="D15" s="90"/>
      <c r="F15" s="13"/>
      <c r="G15" s="63"/>
      <c r="H15" s="8"/>
      <c r="I15" s="7"/>
      <c r="L15" s="128" t="s">
        <v>149</v>
      </c>
      <c r="M15" s="128">
        <f>SUM(M9:M14)</f>
        <v>2250</v>
      </c>
      <c r="O15" s="62" t="s">
        <v>119</v>
      </c>
      <c r="P15" s="62">
        <f>SUM(P9:P14)</f>
        <v>2975</v>
      </c>
    </row>
    <row r="16" ht="15.75" customHeight="1">
      <c r="A16" s="90">
        <v>13.0</v>
      </c>
      <c r="B16" s="63" t="s">
        <v>274</v>
      </c>
      <c r="C16" s="111">
        <v>2250.0</v>
      </c>
      <c r="D16" s="90"/>
      <c r="F16" s="13"/>
      <c r="G16" s="63"/>
      <c r="H16" s="8"/>
      <c r="I16" s="7"/>
    </row>
    <row r="17" ht="15.75" customHeight="1">
      <c r="A17" s="90">
        <v>14.0</v>
      </c>
      <c r="B17" s="63" t="s">
        <v>521</v>
      </c>
      <c r="C17" s="111">
        <v>2250.0</v>
      </c>
      <c r="D17" s="90"/>
      <c r="F17" s="13"/>
      <c r="G17" s="63"/>
      <c r="H17" s="8"/>
      <c r="I17" s="7"/>
    </row>
    <row r="18" ht="15.75" customHeight="1">
      <c r="A18" s="90">
        <v>15.0</v>
      </c>
      <c r="B18" s="63" t="s">
        <v>522</v>
      </c>
      <c r="C18" s="111">
        <v>2250.0</v>
      </c>
      <c r="D18" s="90"/>
      <c r="F18" s="13"/>
      <c r="G18" s="63"/>
      <c r="H18" s="8"/>
      <c r="I18" s="7"/>
    </row>
    <row r="19" ht="15.75" customHeight="1">
      <c r="A19" s="90">
        <v>16.0</v>
      </c>
      <c r="B19" s="63" t="s">
        <v>472</v>
      </c>
      <c r="C19" s="111">
        <v>2250.0</v>
      </c>
      <c r="D19" s="90"/>
      <c r="F19" s="13"/>
      <c r="G19" s="63"/>
      <c r="H19" s="8"/>
      <c r="I19" s="7"/>
      <c r="O19" s="54" t="s">
        <v>523</v>
      </c>
      <c r="P19" s="55">
        <f>P25/22</f>
        <v>163.6363636</v>
      </c>
    </row>
    <row r="20" ht="15.75" customHeight="1">
      <c r="A20" s="90">
        <v>17.0</v>
      </c>
      <c r="B20" s="63" t="s">
        <v>229</v>
      </c>
      <c r="C20" s="111">
        <v>2250.0</v>
      </c>
      <c r="D20" s="90"/>
      <c r="F20" s="13"/>
      <c r="G20" s="63"/>
      <c r="H20" s="8"/>
      <c r="I20" s="7"/>
      <c r="O20" s="62" t="s">
        <v>524</v>
      </c>
      <c r="P20" s="62">
        <v>1800.0</v>
      </c>
    </row>
    <row r="21" ht="15.75" customHeight="1">
      <c r="A21" s="90">
        <v>18.0</v>
      </c>
      <c r="B21" s="63" t="s">
        <v>327</v>
      </c>
      <c r="C21" s="111">
        <v>2250.0</v>
      </c>
      <c r="D21" s="90"/>
      <c r="F21" s="13"/>
      <c r="G21" s="63"/>
      <c r="H21" s="8"/>
      <c r="I21" s="7"/>
      <c r="O21" s="62" t="s">
        <v>525</v>
      </c>
      <c r="P21" s="62">
        <v>1800.0</v>
      </c>
    </row>
    <row r="22" ht="15.75" customHeight="1">
      <c r="A22" s="90">
        <v>19.0</v>
      </c>
      <c r="B22" s="63" t="s">
        <v>303</v>
      </c>
      <c r="C22" s="111">
        <v>2250.0</v>
      </c>
      <c r="D22" s="90"/>
      <c r="F22" s="13"/>
      <c r="G22" s="63"/>
      <c r="H22" s="8"/>
      <c r="I22" s="7"/>
    </row>
    <row r="23" ht="15.75" customHeight="1">
      <c r="A23" s="8">
        <v>20.0</v>
      </c>
      <c r="B23" s="7" t="s">
        <v>526</v>
      </c>
      <c r="C23" s="111">
        <v>2250.0</v>
      </c>
      <c r="D23" s="8"/>
      <c r="F23" s="13"/>
      <c r="G23" s="63"/>
      <c r="H23" s="8"/>
      <c r="I23" s="7"/>
    </row>
    <row r="24" ht="15.75" customHeight="1">
      <c r="A24" s="8">
        <v>21.0</v>
      </c>
      <c r="B24" s="7" t="s">
        <v>527</v>
      </c>
      <c r="C24" s="111">
        <v>2250.0</v>
      </c>
      <c r="D24" s="8"/>
      <c r="F24" s="13"/>
      <c r="G24" s="63"/>
      <c r="H24" s="8"/>
      <c r="I24" s="7"/>
    </row>
    <row r="25" ht="15.75" customHeight="1">
      <c r="A25" s="8">
        <v>22.0</v>
      </c>
      <c r="B25" s="63" t="s">
        <v>528</v>
      </c>
      <c r="C25" s="111">
        <v>2250.0</v>
      </c>
      <c r="D25" s="8"/>
      <c r="F25" s="13"/>
      <c r="G25" s="63"/>
      <c r="H25" s="8"/>
      <c r="I25" s="7"/>
      <c r="O25" s="62" t="s">
        <v>119</v>
      </c>
      <c r="P25" s="62">
        <f>SUM(P20:P24)</f>
        <v>3600</v>
      </c>
    </row>
    <row r="26" ht="15.75" customHeight="1">
      <c r="A26" s="8">
        <v>23.0</v>
      </c>
      <c r="B26" s="7" t="s">
        <v>15</v>
      </c>
      <c r="C26" s="111">
        <v>2250.0</v>
      </c>
      <c r="D26" s="8"/>
      <c r="F26" s="13"/>
      <c r="G26" s="63"/>
      <c r="H26" s="8"/>
      <c r="I26" s="7"/>
    </row>
    <row r="27" ht="15.75" customHeight="1">
      <c r="A27" s="8">
        <v>24.0</v>
      </c>
      <c r="B27" s="63" t="s">
        <v>151</v>
      </c>
      <c r="C27" s="111">
        <v>0.0</v>
      </c>
      <c r="D27" s="8"/>
      <c r="F27" s="13"/>
      <c r="G27" s="63"/>
      <c r="H27" s="8"/>
      <c r="I27" s="7"/>
    </row>
    <row r="28" ht="15.75" customHeight="1">
      <c r="A28" s="8"/>
      <c r="B28" s="63" t="s">
        <v>420</v>
      </c>
      <c r="C28" s="111">
        <v>2250.0</v>
      </c>
      <c r="D28" s="8" t="s">
        <v>201</v>
      </c>
      <c r="F28" s="7"/>
      <c r="G28" s="7"/>
      <c r="H28" s="7"/>
      <c r="I28" s="7"/>
    </row>
    <row r="29" ht="15.75" customHeight="1">
      <c r="A29" s="8"/>
      <c r="B29" s="63" t="s">
        <v>529</v>
      </c>
      <c r="C29" s="111">
        <v>2250.0</v>
      </c>
      <c r="D29" s="8" t="s">
        <v>201</v>
      </c>
      <c r="F29" s="7"/>
      <c r="G29" s="7"/>
      <c r="H29" s="7"/>
      <c r="I29" s="7"/>
    </row>
    <row r="30" ht="15.75" customHeight="1"/>
    <row r="31" ht="15.75" customHeight="1">
      <c r="B31" s="129" t="s">
        <v>119</v>
      </c>
      <c r="C31" s="129">
        <f>SUM(C4:C29)</f>
        <v>56250</v>
      </c>
      <c r="G31" s="129" t="s">
        <v>119</v>
      </c>
      <c r="H31" s="129">
        <f>SUM(H4:H29)</f>
        <v>51165</v>
      </c>
    </row>
    <row r="32" ht="15.75" customHeight="1"/>
    <row r="33" ht="15.75" customHeight="1">
      <c r="G33" s="130" t="s">
        <v>157</v>
      </c>
      <c r="H33" s="128">
        <f>C31-H31</f>
        <v>5085</v>
      </c>
      <c r="O33" s="54"/>
    </row>
    <row r="34" ht="15.75" customHeight="1">
      <c r="G34" s="131" t="s">
        <v>230</v>
      </c>
      <c r="H34" s="128">
        <f>H4</f>
        <v>5000</v>
      </c>
    </row>
    <row r="35" ht="15.75" customHeight="1">
      <c r="G35" s="132" t="s">
        <v>530</v>
      </c>
      <c r="H35" s="128">
        <f>H33+H34</f>
        <v>10085</v>
      </c>
    </row>
    <row r="36" ht="15.75" customHeight="1">
      <c r="P36" s="82"/>
    </row>
    <row r="37" ht="15.75" customHeight="1">
      <c r="P37" s="82"/>
    </row>
    <row r="38" ht="15.75" customHeight="1">
      <c r="P38" s="8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O44" s="5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D2"/>
    <mergeCell ref="F2:I2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38"/>
    <col customWidth="1" min="3" max="4" width="12.63"/>
    <col customWidth="1" min="5" max="5" width="0.38"/>
    <col customWidth="1" min="6" max="6" width="21.38"/>
    <col customWidth="1" min="7" max="7" width="24.0"/>
  </cols>
  <sheetData>
    <row r="1" ht="15.75" customHeight="1">
      <c r="A1" s="112" t="s">
        <v>531</v>
      </c>
      <c r="B1" s="34"/>
      <c r="C1" s="34"/>
      <c r="D1" s="34"/>
      <c r="E1" s="34"/>
      <c r="F1" s="34"/>
      <c r="G1" s="34"/>
      <c r="H1" s="34"/>
      <c r="I1" s="21"/>
    </row>
    <row r="2" ht="15.75" customHeight="1">
      <c r="A2" s="124" t="s">
        <v>124</v>
      </c>
      <c r="B2" s="34"/>
      <c r="C2" s="34"/>
      <c r="D2" s="21"/>
      <c r="F2" s="125" t="s">
        <v>125</v>
      </c>
      <c r="G2" s="34"/>
      <c r="H2" s="34"/>
      <c r="I2" s="21"/>
    </row>
    <row r="3" ht="15.75" customHeight="1">
      <c r="A3" s="126" t="s">
        <v>126</v>
      </c>
      <c r="B3" s="127" t="s">
        <v>127</v>
      </c>
      <c r="C3" s="127" t="s">
        <v>128</v>
      </c>
      <c r="D3" s="127" t="s">
        <v>6</v>
      </c>
      <c r="F3" s="127" t="s">
        <v>0</v>
      </c>
      <c r="G3" s="127" t="s">
        <v>129</v>
      </c>
      <c r="H3" s="127" t="s">
        <v>130</v>
      </c>
      <c r="I3" s="127" t="s">
        <v>6</v>
      </c>
    </row>
    <row r="4" ht="15.75" customHeight="1">
      <c r="A4" s="133">
        <v>1.0</v>
      </c>
      <c r="B4" s="134" t="s">
        <v>532</v>
      </c>
      <c r="C4" s="111">
        <v>3150.0</v>
      </c>
      <c r="D4" s="133"/>
      <c r="F4" s="135">
        <v>45443.0</v>
      </c>
      <c r="G4" s="88" t="s">
        <v>175</v>
      </c>
      <c r="H4" s="117">
        <v>4000.0</v>
      </c>
      <c r="I4" s="98" t="s">
        <v>533</v>
      </c>
    </row>
    <row r="5" ht="15.75" customHeight="1">
      <c r="A5" s="133">
        <v>2.0</v>
      </c>
      <c r="B5" s="134" t="s">
        <v>534</v>
      </c>
      <c r="C5" s="111">
        <v>3150.0</v>
      </c>
      <c r="D5" s="133"/>
      <c r="F5" s="135">
        <v>45458.0</v>
      </c>
      <c r="G5" s="7" t="s">
        <v>535</v>
      </c>
      <c r="H5" s="8">
        <v>2685.0</v>
      </c>
      <c r="I5" s="98" t="s">
        <v>533</v>
      </c>
    </row>
    <row r="6" ht="15.75" customHeight="1">
      <c r="A6" s="133">
        <v>3.0</v>
      </c>
      <c r="B6" s="134" t="s">
        <v>193</v>
      </c>
      <c r="C6" s="111">
        <v>3150.0</v>
      </c>
      <c r="D6" s="133"/>
      <c r="F6" s="135">
        <v>45460.0</v>
      </c>
      <c r="G6" s="7" t="s">
        <v>464</v>
      </c>
      <c r="H6" s="8">
        <v>2600.0</v>
      </c>
      <c r="I6" s="98" t="s">
        <v>533</v>
      </c>
    </row>
    <row r="7" ht="15.75" customHeight="1">
      <c r="A7" s="133">
        <v>4.0</v>
      </c>
      <c r="B7" s="134" t="s">
        <v>319</v>
      </c>
      <c r="C7" s="111">
        <v>3150.0</v>
      </c>
      <c r="D7" s="133" t="s">
        <v>536</v>
      </c>
      <c r="F7" s="135">
        <v>45460.0</v>
      </c>
      <c r="G7" s="7" t="s">
        <v>537</v>
      </c>
      <c r="H7" s="8">
        <v>33400.0</v>
      </c>
      <c r="I7" s="98" t="s">
        <v>533</v>
      </c>
    </row>
    <row r="8" ht="15.75" customHeight="1">
      <c r="A8" s="133">
        <v>5.0</v>
      </c>
      <c r="B8" s="134" t="s">
        <v>39</v>
      </c>
      <c r="C8" s="111">
        <v>3150.0</v>
      </c>
      <c r="D8" s="133"/>
      <c r="F8" s="135">
        <v>45461.0</v>
      </c>
      <c r="G8" s="7" t="s">
        <v>298</v>
      </c>
      <c r="H8" s="8">
        <v>2650.0</v>
      </c>
      <c r="I8" s="98" t="s">
        <v>533</v>
      </c>
    </row>
    <row r="9" ht="15.75" customHeight="1">
      <c r="A9" s="133">
        <v>6.0</v>
      </c>
      <c r="B9" s="134" t="s">
        <v>493</v>
      </c>
      <c r="C9" s="111">
        <v>3150.0</v>
      </c>
      <c r="D9" s="133"/>
      <c r="F9" s="135">
        <v>45463.0</v>
      </c>
      <c r="G9" s="134" t="s">
        <v>538</v>
      </c>
      <c r="H9" s="8">
        <v>150.0</v>
      </c>
      <c r="I9" s="98" t="s">
        <v>533</v>
      </c>
    </row>
    <row r="10" ht="15.75" customHeight="1">
      <c r="A10" s="133">
        <v>7.0</v>
      </c>
      <c r="B10" s="134" t="s">
        <v>392</v>
      </c>
      <c r="C10" s="111">
        <v>3150.0</v>
      </c>
      <c r="D10" s="133"/>
      <c r="F10" s="135">
        <v>45463.0</v>
      </c>
      <c r="G10" s="134" t="s">
        <v>539</v>
      </c>
      <c r="H10" s="8">
        <v>150.0</v>
      </c>
      <c r="I10" s="98" t="s">
        <v>533</v>
      </c>
    </row>
    <row r="11" ht="15.75" customHeight="1">
      <c r="A11" s="133">
        <v>8.0</v>
      </c>
      <c r="B11" s="134" t="s">
        <v>236</v>
      </c>
      <c r="C11" s="111">
        <v>3150.0</v>
      </c>
      <c r="D11" s="133"/>
      <c r="F11" s="135">
        <v>45463.0</v>
      </c>
      <c r="G11" s="134" t="s">
        <v>540</v>
      </c>
      <c r="H11" s="8">
        <v>150.0</v>
      </c>
      <c r="I11" s="98" t="s">
        <v>533</v>
      </c>
    </row>
    <row r="12" ht="15.75" customHeight="1">
      <c r="A12" s="133">
        <v>9.0</v>
      </c>
      <c r="B12" s="134" t="s">
        <v>541</v>
      </c>
      <c r="C12" s="111">
        <v>3150.0</v>
      </c>
      <c r="D12" s="133"/>
      <c r="F12" s="135">
        <v>45463.0</v>
      </c>
      <c r="G12" s="134" t="s">
        <v>542</v>
      </c>
      <c r="H12" s="8">
        <v>150.0</v>
      </c>
      <c r="I12" s="98" t="s">
        <v>533</v>
      </c>
    </row>
    <row r="13" ht="15.75" customHeight="1">
      <c r="A13" s="133">
        <v>10.0</v>
      </c>
      <c r="B13" s="134" t="s">
        <v>543</v>
      </c>
      <c r="C13" s="111">
        <v>3150.0</v>
      </c>
      <c r="D13" s="133"/>
      <c r="F13" s="135">
        <v>45463.0</v>
      </c>
      <c r="G13" s="134" t="s">
        <v>493</v>
      </c>
      <c r="H13" s="8">
        <v>150.0</v>
      </c>
      <c r="I13" s="98" t="s">
        <v>533</v>
      </c>
    </row>
    <row r="14" ht="15.75" customHeight="1">
      <c r="A14" s="133">
        <v>11.0</v>
      </c>
      <c r="B14" s="134" t="s">
        <v>544</v>
      </c>
      <c r="C14" s="111">
        <v>3150.0</v>
      </c>
      <c r="D14" s="133"/>
      <c r="F14" s="135">
        <v>45463.0</v>
      </c>
      <c r="G14" s="134" t="s">
        <v>392</v>
      </c>
      <c r="H14" s="8">
        <v>150.0</v>
      </c>
      <c r="I14" s="98" t="s">
        <v>533</v>
      </c>
    </row>
    <row r="15" ht="15.75" customHeight="1">
      <c r="A15" s="133">
        <v>12.0</v>
      </c>
      <c r="B15" s="134" t="s">
        <v>545</v>
      </c>
      <c r="C15" s="111">
        <v>3150.0</v>
      </c>
      <c r="D15" s="133"/>
      <c r="F15" s="135">
        <v>45463.0</v>
      </c>
      <c r="G15" s="134" t="s">
        <v>236</v>
      </c>
      <c r="H15" s="8">
        <v>150.0</v>
      </c>
      <c r="I15" s="98" t="s">
        <v>533</v>
      </c>
    </row>
    <row r="16" ht="15.75" customHeight="1">
      <c r="A16" s="133">
        <v>13.0</v>
      </c>
      <c r="B16" s="134" t="s">
        <v>269</v>
      </c>
      <c r="C16" s="111">
        <v>3150.0</v>
      </c>
      <c r="D16" s="133"/>
      <c r="F16" s="135">
        <v>45463.0</v>
      </c>
      <c r="G16" s="134" t="s">
        <v>541</v>
      </c>
      <c r="H16" s="8">
        <v>150.0</v>
      </c>
      <c r="I16" s="98" t="s">
        <v>533</v>
      </c>
    </row>
    <row r="17" ht="15.75" customHeight="1">
      <c r="A17" s="133">
        <v>14.0</v>
      </c>
      <c r="B17" s="134" t="s">
        <v>282</v>
      </c>
      <c r="C17" s="111">
        <v>3150.0</v>
      </c>
      <c r="D17" s="133"/>
      <c r="F17" s="135">
        <v>45463.0</v>
      </c>
      <c r="G17" s="134" t="s">
        <v>546</v>
      </c>
      <c r="H17" s="8">
        <v>150.0</v>
      </c>
      <c r="I17" s="98" t="s">
        <v>533</v>
      </c>
    </row>
    <row r="18" ht="15.75" customHeight="1">
      <c r="A18" s="133">
        <v>15.0</v>
      </c>
      <c r="B18" s="134" t="s">
        <v>547</v>
      </c>
      <c r="C18" s="111">
        <v>3150.0</v>
      </c>
      <c r="D18" s="133"/>
      <c r="F18" s="135">
        <v>45463.0</v>
      </c>
      <c r="G18" s="134" t="s">
        <v>548</v>
      </c>
      <c r="H18" s="8">
        <v>150.0</v>
      </c>
      <c r="I18" s="98" t="s">
        <v>533</v>
      </c>
    </row>
    <row r="19" ht="15.75" customHeight="1">
      <c r="A19" s="133">
        <v>16.0</v>
      </c>
      <c r="B19" s="134" t="s">
        <v>549</v>
      </c>
      <c r="C19" s="111">
        <v>3150.0</v>
      </c>
      <c r="D19" s="133"/>
      <c r="F19" s="135">
        <v>45463.0</v>
      </c>
      <c r="G19" s="134" t="s">
        <v>550</v>
      </c>
      <c r="H19" s="8">
        <v>150.0</v>
      </c>
      <c r="I19" s="98" t="s">
        <v>533</v>
      </c>
    </row>
    <row r="20" ht="15.75" customHeight="1">
      <c r="A20" s="133">
        <v>17.0</v>
      </c>
      <c r="B20" s="134" t="s">
        <v>551</v>
      </c>
      <c r="C20" s="111">
        <v>3150.0</v>
      </c>
      <c r="D20" s="133"/>
      <c r="F20" s="135">
        <v>45463.0</v>
      </c>
      <c r="G20" s="134" t="s">
        <v>552</v>
      </c>
      <c r="H20" s="8">
        <v>150.0</v>
      </c>
      <c r="I20" s="98" t="s">
        <v>533</v>
      </c>
    </row>
    <row r="21" ht="15.75" customHeight="1">
      <c r="A21" s="133">
        <v>18.0</v>
      </c>
      <c r="B21" s="134" t="s">
        <v>182</v>
      </c>
      <c r="C21" s="111">
        <v>3150.0</v>
      </c>
      <c r="D21" s="133"/>
      <c r="F21" s="135">
        <v>45463.0</v>
      </c>
      <c r="G21" s="134" t="s">
        <v>553</v>
      </c>
      <c r="H21" s="8">
        <v>150.0</v>
      </c>
      <c r="I21" s="98" t="s">
        <v>533</v>
      </c>
    </row>
    <row r="22" ht="15.75" customHeight="1">
      <c r="A22" s="133">
        <v>19.0</v>
      </c>
      <c r="B22" s="134" t="s">
        <v>465</v>
      </c>
      <c r="C22" s="111">
        <v>3150.0</v>
      </c>
      <c r="D22" s="133"/>
      <c r="F22" s="135">
        <v>45463.0</v>
      </c>
      <c r="G22" s="134" t="s">
        <v>554</v>
      </c>
      <c r="H22" s="8">
        <v>150.0</v>
      </c>
      <c r="I22" s="98" t="s">
        <v>533</v>
      </c>
    </row>
    <row r="23" ht="15.75" customHeight="1">
      <c r="A23" s="133">
        <v>20.0</v>
      </c>
      <c r="B23" s="134" t="s">
        <v>555</v>
      </c>
      <c r="C23" s="111">
        <v>3150.0</v>
      </c>
      <c r="D23" s="133"/>
      <c r="F23" s="135">
        <v>45463.0</v>
      </c>
      <c r="G23" s="134" t="s">
        <v>556</v>
      </c>
      <c r="H23" s="8">
        <v>150.0</v>
      </c>
      <c r="I23" s="98" t="s">
        <v>533</v>
      </c>
    </row>
    <row r="24" ht="15.75" customHeight="1">
      <c r="A24" s="133"/>
      <c r="B24" s="134"/>
      <c r="C24" s="111"/>
      <c r="D24" s="133"/>
      <c r="F24" s="135">
        <v>45463.0</v>
      </c>
      <c r="G24" s="134" t="s">
        <v>557</v>
      </c>
      <c r="H24" s="8">
        <v>150.0</v>
      </c>
      <c r="I24" s="98" t="s">
        <v>533</v>
      </c>
    </row>
    <row r="25" ht="15.75" customHeight="1">
      <c r="A25" s="133"/>
      <c r="B25" s="134"/>
      <c r="C25" s="111"/>
      <c r="D25" s="133"/>
      <c r="F25" s="135">
        <v>45463.0</v>
      </c>
      <c r="G25" s="134" t="s">
        <v>558</v>
      </c>
      <c r="H25" s="8">
        <v>150.0</v>
      </c>
      <c r="I25" s="98" t="s">
        <v>533</v>
      </c>
    </row>
    <row r="26" ht="15.75" customHeight="1">
      <c r="A26" s="133"/>
      <c r="B26" s="134"/>
      <c r="C26" s="111"/>
      <c r="D26" s="133"/>
      <c r="F26" s="135">
        <v>45463.0</v>
      </c>
      <c r="G26" s="134" t="s">
        <v>559</v>
      </c>
      <c r="H26" s="8">
        <v>150.0</v>
      </c>
      <c r="I26" s="98" t="s">
        <v>533</v>
      </c>
    </row>
    <row r="27" ht="15.75" customHeight="1">
      <c r="A27" s="133"/>
      <c r="B27" s="134"/>
      <c r="C27" s="111"/>
      <c r="D27" s="133"/>
      <c r="F27" s="135">
        <v>45463.0</v>
      </c>
      <c r="G27" s="134" t="s">
        <v>560</v>
      </c>
      <c r="H27" s="8">
        <v>150.0</v>
      </c>
      <c r="I27" s="98" t="s">
        <v>533</v>
      </c>
    </row>
    <row r="28" ht="15.75" customHeight="1">
      <c r="A28" s="133"/>
      <c r="B28" s="134"/>
      <c r="C28" s="111"/>
      <c r="D28" s="133"/>
      <c r="F28" s="98"/>
      <c r="G28" s="98"/>
      <c r="H28" s="98"/>
      <c r="I28" s="98"/>
    </row>
    <row r="29" ht="15.75" customHeight="1"/>
    <row r="30" ht="15.75" customHeight="1"/>
    <row r="31" ht="15.75" customHeight="1">
      <c r="B31" s="129" t="s">
        <v>119</v>
      </c>
      <c r="C31" s="129">
        <f>SUM(C4:C28)</f>
        <v>63000</v>
      </c>
      <c r="F31" s="129" t="s">
        <v>119</v>
      </c>
      <c r="G31" s="129">
        <f>SUM(H4:H28)</f>
        <v>48185</v>
      </c>
    </row>
    <row r="32" ht="15.75" customHeight="1"/>
    <row r="33" ht="15.75" customHeight="1">
      <c r="F33" s="130" t="s">
        <v>157</v>
      </c>
      <c r="G33" s="128">
        <f>C31-G31</f>
        <v>14815</v>
      </c>
    </row>
    <row r="34" ht="15.75" customHeight="1">
      <c r="F34" s="131" t="s">
        <v>561</v>
      </c>
      <c r="G34" s="128">
        <v>4000.0</v>
      </c>
    </row>
    <row r="35" ht="15.75" customHeight="1">
      <c r="F35" s="132" t="s">
        <v>562</v>
      </c>
      <c r="G35" s="128">
        <f>G33+G34</f>
        <v>18815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D2"/>
    <mergeCell ref="F2:I2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9.13"/>
    <col customWidth="1" min="3" max="4" width="12.63"/>
    <col customWidth="1" min="5" max="5" width="5.38"/>
    <col customWidth="1" min="6" max="6" width="11.63"/>
    <col customWidth="1" min="7" max="7" width="21.38"/>
  </cols>
  <sheetData>
    <row r="1" ht="15.75" customHeight="1">
      <c r="A1" s="112" t="s">
        <v>563</v>
      </c>
      <c r="B1" s="34"/>
      <c r="C1" s="34"/>
      <c r="D1" s="34"/>
      <c r="E1" s="34"/>
      <c r="F1" s="34"/>
      <c r="G1" s="34"/>
      <c r="H1" s="34"/>
      <c r="I1" s="21"/>
    </row>
    <row r="2" ht="15.75" customHeight="1">
      <c r="A2" s="124" t="s">
        <v>124</v>
      </c>
      <c r="B2" s="34"/>
      <c r="C2" s="34"/>
      <c r="D2" s="21"/>
      <c r="F2" s="125" t="s">
        <v>125</v>
      </c>
      <c r="G2" s="34"/>
      <c r="H2" s="34"/>
      <c r="I2" s="21"/>
    </row>
    <row r="3" ht="15.75" customHeight="1">
      <c r="A3" s="126" t="s">
        <v>126</v>
      </c>
      <c r="B3" s="127" t="s">
        <v>127</v>
      </c>
      <c r="C3" s="127" t="s">
        <v>128</v>
      </c>
      <c r="D3" s="127" t="s">
        <v>6</v>
      </c>
      <c r="F3" s="127" t="s">
        <v>0</v>
      </c>
      <c r="G3" s="127" t="s">
        <v>129</v>
      </c>
      <c r="H3" s="127" t="s">
        <v>130</v>
      </c>
      <c r="I3" s="127" t="s">
        <v>6</v>
      </c>
    </row>
    <row r="4" ht="15.75" customHeight="1">
      <c r="A4" s="133">
        <v>1.0</v>
      </c>
      <c r="B4" s="98" t="s">
        <v>11</v>
      </c>
      <c r="C4" s="111">
        <v>1000.0</v>
      </c>
      <c r="D4" s="133"/>
      <c r="F4" s="135">
        <v>45445.0</v>
      </c>
      <c r="G4" s="88" t="s">
        <v>147</v>
      </c>
      <c r="H4" s="117">
        <v>5100.0</v>
      </c>
      <c r="I4" s="98" t="s">
        <v>134</v>
      </c>
    </row>
    <row r="5" ht="15.75" customHeight="1">
      <c r="A5" s="133">
        <v>2.0</v>
      </c>
      <c r="B5" s="98" t="s">
        <v>564</v>
      </c>
      <c r="C5" s="111">
        <v>1000.0</v>
      </c>
      <c r="D5" s="133"/>
      <c r="F5" s="135"/>
      <c r="G5" s="7"/>
      <c r="H5" s="8"/>
      <c r="I5" s="98"/>
    </row>
    <row r="6" ht="15.75" customHeight="1">
      <c r="A6" s="133">
        <v>3.0</v>
      </c>
      <c r="B6" s="98" t="s">
        <v>565</v>
      </c>
      <c r="C6" s="111">
        <v>1000.0</v>
      </c>
      <c r="D6" s="133"/>
      <c r="F6" s="135"/>
      <c r="G6" s="7"/>
      <c r="H6" s="8"/>
      <c r="I6" s="98"/>
    </row>
    <row r="7" ht="15.75" customHeight="1">
      <c r="A7" s="133">
        <v>4.0</v>
      </c>
      <c r="B7" s="98" t="s">
        <v>566</v>
      </c>
      <c r="C7" s="111">
        <v>1000.0</v>
      </c>
      <c r="D7" s="133"/>
      <c r="F7" s="135"/>
      <c r="G7" s="7"/>
      <c r="H7" s="8"/>
      <c r="I7" s="98"/>
    </row>
    <row r="8" ht="15.75" customHeight="1">
      <c r="A8" s="133">
        <v>5.0</v>
      </c>
      <c r="B8" s="136" t="s">
        <v>49</v>
      </c>
      <c r="C8" s="111">
        <v>1000.0</v>
      </c>
      <c r="D8" s="133"/>
      <c r="F8" s="135"/>
      <c r="G8" s="7"/>
      <c r="H8" s="8"/>
      <c r="I8" s="98"/>
    </row>
    <row r="9" ht="15.75" customHeight="1">
      <c r="A9" s="133">
        <v>6.0</v>
      </c>
      <c r="B9" s="98" t="s">
        <v>431</v>
      </c>
      <c r="C9" s="111">
        <v>1000.0</v>
      </c>
      <c r="D9" s="133"/>
      <c r="F9" s="135"/>
      <c r="G9" s="7"/>
      <c r="H9" s="8"/>
      <c r="I9" s="98"/>
    </row>
    <row r="10" ht="15.75" customHeight="1">
      <c r="A10" s="133">
        <v>7.0</v>
      </c>
      <c r="B10" s="98" t="s">
        <v>420</v>
      </c>
      <c r="C10" s="111">
        <v>1000.0</v>
      </c>
      <c r="D10" s="133"/>
      <c r="F10" s="135"/>
      <c r="G10" s="7"/>
      <c r="H10" s="8"/>
      <c r="I10" s="98"/>
    </row>
    <row r="11" ht="15.75" customHeight="1">
      <c r="A11" s="133">
        <v>8.0</v>
      </c>
      <c r="B11" s="98" t="s">
        <v>36</v>
      </c>
      <c r="C11" s="111">
        <v>1000.0</v>
      </c>
      <c r="D11" s="133"/>
      <c r="F11" s="135"/>
      <c r="G11" s="7"/>
      <c r="H11" s="8"/>
      <c r="I11" s="98"/>
    </row>
    <row r="12" ht="15.75" customHeight="1">
      <c r="A12" s="133">
        <v>9.0</v>
      </c>
      <c r="B12" s="98" t="s">
        <v>303</v>
      </c>
      <c r="C12" s="111">
        <v>1000.0</v>
      </c>
      <c r="D12" s="133"/>
      <c r="F12" s="135"/>
      <c r="G12" s="7"/>
      <c r="H12" s="8"/>
      <c r="I12" s="98"/>
    </row>
    <row r="13" ht="15.75" customHeight="1">
      <c r="A13" s="133">
        <v>10.0</v>
      </c>
      <c r="B13" s="98" t="s">
        <v>383</v>
      </c>
      <c r="C13" s="111">
        <v>0.0</v>
      </c>
      <c r="D13" s="133"/>
      <c r="F13" s="135"/>
      <c r="G13" s="7"/>
      <c r="H13" s="8"/>
      <c r="I13" s="98"/>
    </row>
    <row r="14" ht="15.75" customHeight="1">
      <c r="A14" s="133"/>
      <c r="B14" s="98"/>
      <c r="C14" s="111"/>
      <c r="D14" s="133"/>
      <c r="F14" s="135"/>
      <c r="G14" s="7"/>
      <c r="H14" s="8"/>
      <c r="I14" s="98"/>
    </row>
    <row r="15" ht="15.75" customHeight="1">
      <c r="A15" s="133"/>
      <c r="B15" s="98"/>
      <c r="C15" s="137"/>
      <c r="D15" s="133"/>
      <c r="F15" s="135"/>
      <c r="G15" s="7"/>
      <c r="H15" s="8"/>
      <c r="I15" s="98"/>
    </row>
    <row r="16" ht="15.75" customHeight="1">
      <c r="A16" s="133"/>
      <c r="B16" s="98"/>
      <c r="C16" s="111"/>
      <c r="D16" s="133"/>
      <c r="F16" s="133"/>
      <c r="G16" s="138"/>
      <c r="H16" s="133"/>
      <c r="I16" s="98"/>
    </row>
    <row r="17" ht="15.75" customHeight="1">
      <c r="A17" s="133"/>
      <c r="B17" s="98"/>
      <c r="C17" s="111"/>
      <c r="D17" s="133"/>
      <c r="F17" s="98"/>
      <c r="G17" s="98"/>
      <c r="H17" s="98"/>
      <c r="I17" s="98"/>
    </row>
    <row r="18" ht="15.75" customHeight="1">
      <c r="A18" s="133"/>
      <c r="B18" s="98"/>
      <c r="C18" s="111"/>
      <c r="D18" s="133"/>
      <c r="F18" s="98"/>
      <c r="G18" s="98"/>
      <c r="H18" s="98"/>
      <c r="I18" s="98"/>
    </row>
    <row r="19" ht="15.75" customHeight="1">
      <c r="A19" s="133"/>
      <c r="B19" s="98"/>
      <c r="C19" s="111"/>
      <c r="D19" s="133"/>
      <c r="F19" s="98"/>
      <c r="G19" s="98"/>
      <c r="H19" s="98"/>
      <c r="I19" s="98"/>
    </row>
    <row r="20" ht="15.75" customHeight="1">
      <c r="A20" s="133"/>
      <c r="B20" s="98"/>
      <c r="C20" s="111"/>
      <c r="D20" s="133"/>
      <c r="F20" s="98"/>
      <c r="G20" s="98"/>
      <c r="H20" s="98"/>
      <c r="I20" s="98"/>
    </row>
    <row r="21" ht="15.75" customHeight="1">
      <c r="A21" s="133"/>
      <c r="B21" s="98"/>
      <c r="C21" s="111"/>
      <c r="D21" s="133"/>
      <c r="F21" s="98"/>
      <c r="G21" s="98"/>
      <c r="H21" s="98"/>
      <c r="I21" s="98"/>
    </row>
    <row r="22" ht="15.75" customHeight="1">
      <c r="A22" s="133"/>
      <c r="B22" s="98"/>
      <c r="C22" s="111"/>
      <c r="D22" s="133"/>
      <c r="F22" s="98"/>
      <c r="G22" s="98"/>
      <c r="H22" s="98"/>
      <c r="I22" s="98"/>
    </row>
    <row r="23" ht="15.75" customHeight="1">
      <c r="A23" s="133"/>
      <c r="B23" s="98"/>
      <c r="C23" s="111"/>
      <c r="D23" s="133"/>
      <c r="F23" s="98"/>
      <c r="G23" s="98"/>
      <c r="H23" s="98"/>
      <c r="I23" s="98"/>
    </row>
    <row r="24" ht="15.75" customHeight="1">
      <c r="A24" s="133"/>
      <c r="B24" s="98"/>
      <c r="C24" s="137"/>
      <c r="D24" s="133"/>
      <c r="F24" s="98"/>
      <c r="G24" s="98"/>
      <c r="H24" s="98"/>
      <c r="I24" s="98"/>
    </row>
    <row r="25" ht="15.75" customHeight="1">
      <c r="A25" s="133"/>
      <c r="B25" s="98"/>
      <c r="C25" s="111"/>
      <c r="D25" s="133"/>
      <c r="F25" s="98"/>
      <c r="G25" s="98"/>
      <c r="H25" s="98"/>
      <c r="I25" s="98"/>
    </row>
    <row r="26" ht="15.75" customHeight="1">
      <c r="A26" s="133"/>
      <c r="B26" s="98"/>
      <c r="C26" s="137"/>
      <c r="D26" s="133"/>
      <c r="F26" s="98"/>
      <c r="G26" s="98"/>
      <c r="H26" s="98"/>
      <c r="I26" s="98"/>
    </row>
    <row r="27" ht="15.75" customHeight="1">
      <c r="A27" s="133"/>
      <c r="B27" s="98"/>
      <c r="C27" s="111"/>
      <c r="D27" s="133"/>
      <c r="F27" s="98"/>
      <c r="G27" s="98"/>
      <c r="H27" s="98"/>
      <c r="I27" s="98"/>
    </row>
    <row r="28" ht="15.75" customHeight="1">
      <c r="A28" s="133"/>
      <c r="B28" s="98"/>
      <c r="C28" s="111"/>
      <c r="D28" s="133"/>
      <c r="F28" s="98"/>
      <c r="G28" s="98"/>
      <c r="H28" s="98"/>
      <c r="I28" s="98"/>
    </row>
    <row r="29" ht="15.75" customHeight="1">
      <c r="A29" s="133"/>
      <c r="B29" s="98"/>
      <c r="C29" s="111"/>
      <c r="D29" s="133"/>
      <c r="F29" s="98"/>
      <c r="G29" s="98"/>
      <c r="H29" s="98"/>
      <c r="I29" s="98"/>
    </row>
    <row r="30" ht="15.75" customHeight="1">
      <c r="A30" s="133"/>
      <c r="B30" s="98"/>
      <c r="C30" s="133"/>
      <c r="D30" s="133"/>
      <c r="F30" s="98"/>
      <c r="G30" s="98"/>
      <c r="H30" s="98"/>
      <c r="I30" s="98"/>
    </row>
    <row r="31" ht="15.75" customHeight="1">
      <c r="A31" s="139"/>
      <c r="C31" s="139"/>
      <c r="D31" s="139"/>
    </row>
    <row r="32" ht="15.75" customHeight="1">
      <c r="B32" s="129" t="s">
        <v>119</v>
      </c>
      <c r="C32" s="129">
        <f>SUM(C4:C29)</f>
        <v>9000</v>
      </c>
      <c r="G32" s="129" t="s">
        <v>119</v>
      </c>
      <c r="H32" s="129">
        <f>SUM(H4:H29)</f>
        <v>5100</v>
      </c>
    </row>
    <row r="33" ht="15.75" customHeight="1"/>
    <row r="34" ht="15.75" customHeight="1">
      <c r="G34" s="130" t="s">
        <v>157</v>
      </c>
      <c r="H34" s="130">
        <f>C32-H32</f>
        <v>3900</v>
      </c>
    </row>
    <row r="35" ht="15.75" customHeight="1">
      <c r="G35" s="131" t="s">
        <v>230</v>
      </c>
      <c r="H35" s="131">
        <v>0.0</v>
      </c>
    </row>
    <row r="36" ht="15.75" customHeight="1">
      <c r="G36" s="140" t="s">
        <v>159</v>
      </c>
      <c r="H36" s="132">
        <f>H34+H35</f>
        <v>3900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D2"/>
    <mergeCell ref="F2:I2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9.13"/>
    <col customWidth="1" min="3" max="4" width="12.63"/>
    <col customWidth="1" min="5" max="5" width="5.38"/>
    <col customWidth="1" min="6" max="6" width="10.63"/>
    <col customWidth="1" min="7" max="7" width="21.38"/>
  </cols>
  <sheetData>
    <row r="1" ht="15.75" customHeight="1">
      <c r="A1" s="112" t="s">
        <v>567</v>
      </c>
      <c r="B1" s="34"/>
      <c r="C1" s="34"/>
      <c r="D1" s="34"/>
      <c r="E1" s="34"/>
      <c r="F1" s="34"/>
      <c r="G1" s="34"/>
      <c r="H1" s="34"/>
      <c r="I1" s="21"/>
    </row>
    <row r="2" ht="15.75" customHeight="1">
      <c r="A2" s="124" t="s">
        <v>124</v>
      </c>
      <c r="B2" s="34"/>
      <c r="C2" s="34"/>
      <c r="D2" s="21"/>
      <c r="F2" s="125" t="s">
        <v>125</v>
      </c>
      <c r="G2" s="34"/>
      <c r="H2" s="34"/>
      <c r="I2" s="21"/>
    </row>
    <row r="3" ht="15.75" customHeight="1">
      <c r="A3" s="126" t="s">
        <v>126</v>
      </c>
      <c r="B3" s="127" t="s">
        <v>127</v>
      </c>
      <c r="C3" s="127" t="s">
        <v>128</v>
      </c>
      <c r="D3" s="127" t="s">
        <v>6</v>
      </c>
      <c r="F3" s="127" t="s">
        <v>0</v>
      </c>
      <c r="G3" s="127" t="s">
        <v>129</v>
      </c>
      <c r="H3" s="127" t="s">
        <v>130</v>
      </c>
      <c r="I3" s="127" t="s">
        <v>6</v>
      </c>
    </row>
    <row r="4" ht="15.75" customHeight="1">
      <c r="A4" s="133">
        <v>1.0</v>
      </c>
      <c r="B4" s="98" t="s">
        <v>11</v>
      </c>
      <c r="C4" s="111">
        <v>2800.0</v>
      </c>
      <c r="D4" s="133"/>
      <c r="F4" s="133"/>
      <c r="G4" s="88" t="s">
        <v>568</v>
      </c>
      <c r="H4" s="117">
        <v>10000.0</v>
      </c>
      <c r="I4" s="98" t="s">
        <v>134</v>
      </c>
    </row>
    <row r="5" ht="15.75" customHeight="1">
      <c r="A5" s="133">
        <v>2.0</v>
      </c>
      <c r="B5" s="98" t="s">
        <v>569</v>
      </c>
      <c r="C5" s="111">
        <v>2800.0</v>
      </c>
      <c r="D5" s="133"/>
      <c r="F5" s="135">
        <v>45430.0</v>
      </c>
      <c r="G5" s="7" t="s">
        <v>535</v>
      </c>
      <c r="H5" s="8">
        <v>2000.0</v>
      </c>
      <c r="I5" s="98" t="s">
        <v>533</v>
      </c>
    </row>
    <row r="6" ht="15.75" customHeight="1">
      <c r="A6" s="133">
        <v>3.0</v>
      </c>
      <c r="B6" s="98" t="s">
        <v>244</v>
      </c>
      <c r="C6" s="111">
        <v>2800.0</v>
      </c>
      <c r="D6" s="133"/>
      <c r="F6" s="135">
        <v>45431.0</v>
      </c>
      <c r="G6" s="7" t="s">
        <v>537</v>
      </c>
      <c r="H6" s="8">
        <v>33000.0</v>
      </c>
      <c r="I6" s="98" t="s">
        <v>533</v>
      </c>
    </row>
    <row r="7" ht="15.75" customHeight="1">
      <c r="A7" s="133">
        <v>4.0</v>
      </c>
      <c r="B7" s="98" t="s">
        <v>564</v>
      </c>
      <c r="C7" s="111">
        <v>2800.0</v>
      </c>
      <c r="D7" s="133"/>
      <c r="F7" s="135">
        <v>45432.0</v>
      </c>
      <c r="G7" s="7" t="s">
        <v>570</v>
      </c>
      <c r="H7" s="8">
        <v>2300.0</v>
      </c>
      <c r="I7" s="98" t="s">
        <v>533</v>
      </c>
    </row>
    <row r="8" ht="15.75" customHeight="1">
      <c r="A8" s="133">
        <v>5.0</v>
      </c>
      <c r="B8" s="98" t="s">
        <v>240</v>
      </c>
      <c r="C8" s="111">
        <v>2800.0</v>
      </c>
      <c r="D8" s="133"/>
      <c r="F8" s="135">
        <v>45432.0</v>
      </c>
      <c r="G8" s="7" t="s">
        <v>571</v>
      </c>
      <c r="H8" s="8">
        <v>2300.0</v>
      </c>
      <c r="I8" s="98" t="s">
        <v>533</v>
      </c>
    </row>
    <row r="9" ht="15.75" customHeight="1">
      <c r="A9" s="133">
        <v>6.0</v>
      </c>
      <c r="B9" s="98" t="s">
        <v>179</v>
      </c>
      <c r="C9" s="111">
        <v>2800.0</v>
      </c>
      <c r="D9" s="133"/>
      <c r="F9" s="135">
        <v>45432.0</v>
      </c>
      <c r="G9" s="7" t="s">
        <v>572</v>
      </c>
      <c r="H9" s="8">
        <v>2300.0</v>
      </c>
      <c r="I9" s="98" t="s">
        <v>533</v>
      </c>
    </row>
    <row r="10" ht="15.75" customHeight="1">
      <c r="A10" s="133">
        <v>7.0</v>
      </c>
      <c r="B10" s="136" t="s">
        <v>36</v>
      </c>
      <c r="C10" s="111">
        <v>2800.0</v>
      </c>
      <c r="D10" s="133"/>
      <c r="F10" s="135">
        <v>45432.0</v>
      </c>
      <c r="G10" s="7" t="s">
        <v>573</v>
      </c>
      <c r="H10" s="8">
        <v>2300.0</v>
      </c>
      <c r="I10" s="98" t="s">
        <v>533</v>
      </c>
    </row>
    <row r="11" ht="15.75" customHeight="1">
      <c r="A11" s="133">
        <v>8.0</v>
      </c>
      <c r="B11" s="98" t="s">
        <v>193</v>
      </c>
      <c r="C11" s="111">
        <v>2800.0</v>
      </c>
      <c r="D11" s="133"/>
      <c r="F11" s="135">
        <v>45432.0</v>
      </c>
      <c r="G11" s="7" t="s">
        <v>574</v>
      </c>
      <c r="H11" s="8">
        <v>2300.0</v>
      </c>
      <c r="I11" s="98" t="s">
        <v>533</v>
      </c>
    </row>
    <row r="12" ht="15.75" customHeight="1">
      <c r="A12" s="133">
        <v>9.0</v>
      </c>
      <c r="B12" s="98" t="s">
        <v>458</v>
      </c>
      <c r="C12" s="111">
        <v>2800.0</v>
      </c>
      <c r="D12" s="133"/>
      <c r="F12" s="135">
        <v>45432.0</v>
      </c>
      <c r="G12" s="7" t="s">
        <v>575</v>
      </c>
      <c r="H12" s="8">
        <v>2300.0</v>
      </c>
      <c r="I12" s="98" t="s">
        <v>533</v>
      </c>
    </row>
    <row r="13" ht="15.75" customHeight="1">
      <c r="A13" s="133">
        <v>10.0</v>
      </c>
      <c r="B13" s="98" t="s">
        <v>576</v>
      </c>
      <c r="C13" s="111">
        <v>2800.0</v>
      </c>
      <c r="D13" s="133" t="s">
        <v>536</v>
      </c>
      <c r="F13" s="135">
        <v>45432.0</v>
      </c>
      <c r="G13" s="7" t="s">
        <v>577</v>
      </c>
      <c r="H13" s="8">
        <v>1800.0</v>
      </c>
      <c r="I13" s="98" t="s">
        <v>533</v>
      </c>
    </row>
    <row r="14" ht="15.75" customHeight="1">
      <c r="A14" s="133">
        <v>11.0</v>
      </c>
      <c r="B14" s="98" t="s">
        <v>192</v>
      </c>
      <c r="C14" s="111">
        <v>2800.0</v>
      </c>
      <c r="D14" s="133"/>
      <c r="F14" s="135">
        <v>45432.0</v>
      </c>
      <c r="G14" s="7" t="s">
        <v>578</v>
      </c>
      <c r="H14" s="8">
        <v>1800.0</v>
      </c>
      <c r="I14" s="98" t="s">
        <v>533</v>
      </c>
    </row>
    <row r="15" ht="15.75" customHeight="1">
      <c r="A15" s="133">
        <v>12.0</v>
      </c>
      <c r="B15" s="98" t="s">
        <v>409</v>
      </c>
      <c r="C15" s="137">
        <v>2800.0</v>
      </c>
      <c r="D15" s="133" t="s">
        <v>536</v>
      </c>
      <c r="F15" s="135">
        <v>45432.0</v>
      </c>
      <c r="G15" s="7" t="s">
        <v>151</v>
      </c>
      <c r="H15" s="8">
        <v>2700.0</v>
      </c>
      <c r="I15" s="98" t="s">
        <v>533</v>
      </c>
    </row>
    <row r="16" ht="15.75" customHeight="1">
      <c r="A16" s="133">
        <v>13.0</v>
      </c>
      <c r="B16" s="98" t="s">
        <v>39</v>
      </c>
      <c r="C16" s="111">
        <v>2800.0</v>
      </c>
      <c r="D16" s="133"/>
      <c r="F16" s="133"/>
      <c r="G16" s="138"/>
      <c r="H16" s="133"/>
      <c r="I16" s="98"/>
    </row>
    <row r="17" ht="15.75" customHeight="1">
      <c r="A17" s="133">
        <v>14.0</v>
      </c>
      <c r="B17" s="98" t="s">
        <v>579</v>
      </c>
      <c r="C17" s="111">
        <v>2800.0</v>
      </c>
      <c r="D17" s="133" t="s">
        <v>536</v>
      </c>
      <c r="F17" s="98"/>
      <c r="G17" s="98"/>
      <c r="H17" s="98"/>
      <c r="I17" s="98"/>
    </row>
    <row r="18" ht="15.75" customHeight="1">
      <c r="A18" s="133">
        <v>15.0</v>
      </c>
      <c r="B18" s="98" t="s">
        <v>49</v>
      </c>
      <c r="C18" s="111">
        <v>2800.0</v>
      </c>
      <c r="D18" s="133"/>
      <c r="F18" s="98"/>
      <c r="G18" s="98"/>
      <c r="H18" s="98"/>
      <c r="I18" s="98"/>
    </row>
    <row r="19" ht="15.75" customHeight="1">
      <c r="A19" s="133">
        <v>16.0</v>
      </c>
      <c r="B19" s="98" t="s">
        <v>580</v>
      </c>
      <c r="C19" s="111">
        <v>2800.0</v>
      </c>
      <c r="D19" s="133"/>
      <c r="F19" s="98"/>
      <c r="G19" s="98"/>
      <c r="H19" s="98"/>
      <c r="I19" s="98"/>
    </row>
    <row r="20" ht="15.75" customHeight="1">
      <c r="A20" s="133">
        <v>17.0</v>
      </c>
      <c r="B20" s="98" t="s">
        <v>191</v>
      </c>
      <c r="C20" s="111">
        <v>2800.0</v>
      </c>
      <c r="D20" s="133"/>
      <c r="F20" s="98"/>
      <c r="G20" s="98"/>
      <c r="H20" s="98"/>
      <c r="I20" s="98"/>
    </row>
    <row r="21" ht="15.75" customHeight="1">
      <c r="A21" s="133">
        <v>18.0</v>
      </c>
      <c r="B21" s="98" t="s">
        <v>52</v>
      </c>
      <c r="C21" s="111">
        <v>2800.0</v>
      </c>
      <c r="D21" s="133"/>
      <c r="F21" s="98"/>
      <c r="G21" s="98"/>
      <c r="H21" s="98"/>
      <c r="I21" s="98"/>
    </row>
    <row r="22" ht="15.75" customHeight="1">
      <c r="A22" s="133">
        <v>19.0</v>
      </c>
      <c r="B22" s="98" t="s">
        <v>422</v>
      </c>
      <c r="C22" s="111">
        <v>2800.0</v>
      </c>
      <c r="D22" s="133" t="s">
        <v>536</v>
      </c>
      <c r="F22" s="98"/>
      <c r="G22" s="98"/>
      <c r="H22" s="98"/>
      <c r="I22" s="98"/>
    </row>
    <row r="23" ht="15.75" customHeight="1">
      <c r="A23" s="133">
        <v>20.0</v>
      </c>
      <c r="B23" s="98" t="s">
        <v>581</v>
      </c>
      <c r="C23" s="111">
        <v>2800.0</v>
      </c>
      <c r="D23" s="133"/>
      <c r="F23" s="98"/>
      <c r="G23" s="98"/>
      <c r="H23" s="98"/>
      <c r="I23" s="98"/>
    </row>
    <row r="24" ht="15.75" customHeight="1">
      <c r="A24" s="133">
        <v>21.0</v>
      </c>
      <c r="B24" s="98" t="s">
        <v>336</v>
      </c>
      <c r="C24" s="137">
        <v>2800.0</v>
      </c>
      <c r="D24" s="133" t="s">
        <v>536</v>
      </c>
      <c r="F24" s="98"/>
      <c r="G24" s="98"/>
      <c r="H24" s="98"/>
      <c r="I24" s="98"/>
    </row>
    <row r="25" ht="15.75" customHeight="1">
      <c r="A25" s="133">
        <v>22.0</v>
      </c>
      <c r="B25" s="98" t="s">
        <v>303</v>
      </c>
      <c r="C25" s="111">
        <v>2800.0</v>
      </c>
      <c r="D25" s="133"/>
      <c r="F25" s="98"/>
      <c r="G25" s="98"/>
      <c r="H25" s="98"/>
      <c r="I25" s="98"/>
    </row>
    <row r="26" ht="15.75" customHeight="1">
      <c r="A26" s="133">
        <v>23.0</v>
      </c>
      <c r="B26" s="98" t="s">
        <v>329</v>
      </c>
      <c r="C26" s="137">
        <v>2800.0</v>
      </c>
      <c r="D26" s="133" t="s">
        <v>536</v>
      </c>
      <c r="F26" s="98"/>
      <c r="G26" s="98"/>
      <c r="H26" s="98"/>
      <c r="I26" s="98"/>
    </row>
    <row r="27" ht="15.75" customHeight="1">
      <c r="A27" s="133">
        <v>24.0</v>
      </c>
      <c r="B27" s="98" t="s">
        <v>582</v>
      </c>
      <c r="C27" s="111">
        <v>2300.0</v>
      </c>
      <c r="D27" s="133" t="s">
        <v>536</v>
      </c>
      <c r="F27" s="98"/>
      <c r="G27" s="98"/>
      <c r="H27" s="98"/>
      <c r="I27" s="98"/>
    </row>
    <row r="28" ht="15.75" customHeight="1">
      <c r="A28" s="133">
        <v>25.0</v>
      </c>
      <c r="B28" s="98" t="s">
        <v>190</v>
      </c>
      <c r="C28" s="111">
        <v>2300.0</v>
      </c>
      <c r="D28" s="133" t="s">
        <v>536</v>
      </c>
      <c r="F28" s="98"/>
      <c r="G28" s="98"/>
      <c r="H28" s="98"/>
      <c r="I28" s="98"/>
    </row>
    <row r="29" ht="15.75" customHeight="1">
      <c r="A29" s="133">
        <v>26.0</v>
      </c>
      <c r="B29" s="98" t="s">
        <v>399</v>
      </c>
      <c r="C29" s="111">
        <v>2800.0</v>
      </c>
      <c r="D29" s="133"/>
      <c r="F29" s="98"/>
      <c r="G29" s="98"/>
      <c r="H29" s="98"/>
      <c r="I29" s="98"/>
    </row>
    <row r="30" ht="15.75" customHeight="1">
      <c r="A30" s="133">
        <v>27.0</v>
      </c>
      <c r="B30" s="98" t="s">
        <v>151</v>
      </c>
      <c r="C30" s="133"/>
      <c r="D30" s="133"/>
      <c r="F30" s="98"/>
      <c r="G30" s="98"/>
      <c r="H30" s="98"/>
      <c r="I30" s="98"/>
    </row>
    <row r="31" ht="15.75" customHeight="1">
      <c r="A31" s="139"/>
      <c r="C31" s="139"/>
      <c r="D31" s="139"/>
    </row>
    <row r="32" ht="15.75" customHeight="1">
      <c r="B32" s="129" t="s">
        <v>119</v>
      </c>
      <c r="C32" s="129">
        <f>SUM(C4:C29)</f>
        <v>71800</v>
      </c>
      <c r="G32" s="129" t="s">
        <v>119</v>
      </c>
      <c r="H32" s="129">
        <f>SUM(H4:H29)</f>
        <v>65100</v>
      </c>
    </row>
    <row r="33" ht="15.75" customHeight="1"/>
    <row r="34" ht="15.75" customHeight="1">
      <c r="G34" s="130" t="s">
        <v>157</v>
      </c>
      <c r="H34" s="130">
        <f>C32-H32</f>
        <v>6700</v>
      </c>
    </row>
    <row r="35" ht="15.75" customHeight="1">
      <c r="G35" s="131" t="s">
        <v>230</v>
      </c>
      <c r="H35" s="131">
        <v>10000.0</v>
      </c>
    </row>
    <row r="36" ht="15.75" customHeight="1">
      <c r="G36" s="132" t="s">
        <v>562</v>
      </c>
      <c r="H36" s="132">
        <f>H34+H35</f>
        <v>16700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D2"/>
    <mergeCell ref="F2:I2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38"/>
    <col customWidth="1" min="3" max="3" width="8.63"/>
    <col customWidth="1" min="4" max="4" width="16.5"/>
    <col customWidth="1" min="5" max="5" width="3.88"/>
    <col customWidth="1" min="6" max="6" width="11.38"/>
    <col customWidth="1" min="7" max="7" width="25.5"/>
    <col customWidth="1" min="8" max="8" width="6.63"/>
    <col customWidth="1" min="9" max="9" width="15.63"/>
    <col customWidth="1" min="10" max="10" width="37.63"/>
  </cols>
  <sheetData>
    <row r="1" ht="15.75" customHeight="1">
      <c r="A1" s="112" t="s">
        <v>583</v>
      </c>
      <c r="B1" s="34"/>
      <c r="C1" s="34"/>
      <c r="D1" s="34"/>
      <c r="E1" s="34"/>
      <c r="F1" s="34"/>
      <c r="G1" s="34"/>
      <c r="H1" s="34"/>
      <c r="I1" s="141"/>
      <c r="J1" s="142"/>
    </row>
    <row r="2" ht="15.75" customHeight="1">
      <c r="A2" s="125" t="s">
        <v>124</v>
      </c>
      <c r="B2" s="34"/>
      <c r="C2" s="34"/>
      <c r="D2" s="21"/>
      <c r="F2" s="125" t="s">
        <v>125</v>
      </c>
      <c r="G2" s="34"/>
      <c r="H2" s="34"/>
      <c r="I2" s="21"/>
    </row>
    <row r="3" ht="15.75" customHeight="1">
      <c r="A3" s="143" t="s">
        <v>584</v>
      </c>
      <c r="B3" s="144" t="s">
        <v>585</v>
      </c>
      <c r="C3" s="143" t="s">
        <v>128</v>
      </c>
      <c r="D3" s="144" t="s">
        <v>6</v>
      </c>
      <c r="F3" s="143" t="s">
        <v>0</v>
      </c>
      <c r="G3" s="143" t="s">
        <v>129</v>
      </c>
      <c r="H3" s="145" t="s">
        <v>130</v>
      </c>
      <c r="I3" s="146" t="s">
        <v>6</v>
      </c>
    </row>
    <row r="4" ht="15.75" customHeight="1">
      <c r="A4" s="133">
        <v>1.0</v>
      </c>
      <c r="B4" s="147" t="s">
        <v>11</v>
      </c>
      <c r="C4" s="133">
        <v>3500.0</v>
      </c>
      <c r="D4" s="134"/>
      <c r="F4" s="148">
        <v>45379.0</v>
      </c>
      <c r="G4" s="149" t="s">
        <v>568</v>
      </c>
      <c r="H4" s="150">
        <v>10000.0</v>
      </c>
      <c r="I4" s="149" t="s">
        <v>586</v>
      </c>
      <c r="J4" s="151"/>
    </row>
    <row r="5" ht="15.75" customHeight="1">
      <c r="A5" s="133">
        <v>2.0</v>
      </c>
      <c r="B5" s="147" t="s">
        <v>587</v>
      </c>
      <c r="C5" s="133">
        <v>3500.0</v>
      </c>
      <c r="D5" s="134"/>
      <c r="F5" s="148">
        <v>45403.0</v>
      </c>
      <c r="G5" s="152" t="s">
        <v>588</v>
      </c>
      <c r="H5" s="153">
        <v>69800.0</v>
      </c>
      <c r="I5" s="98" t="s">
        <v>134</v>
      </c>
      <c r="J5" s="151"/>
    </row>
    <row r="6" ht="15.75" customHeight="1">
      <c r="A6" s="133">
        <v>3.0</v>
      </c>
      <c r="B6" s="147" t="s">
        <v>589</v>
      </c>
      <c r="C6" s="133">
        <v>3500.0</v>
      </c>
      <c r="D6" s="134"/>
      <c r="F6" s="148">
        <v>45403.0</v>
      </c>
      <c r="G6" s="152" t="s">
        <v>156</v>
      </c>
      <c r="H6" s="153">
        <v>4250.0</v>
      </c>
      <c r="I6" s="98" t="s">
        <v>134</v>
      </c>
    </row>
    <row r="7" ht="15.75" customHeight="1">
      <c r="A7" s="133">
        <v>4.0</v>
      </c>
      <c r="B7" s="147" t="s">
        <v>191</v>
      </c>
      <c r="C7" s="133">
        <v>3500.0</v>
      </c>
      <c r="D7" s="134"/>
      <c r="F7" s="148">
        <v>45402.0</v>
      </c>
      <c r="G7" s="98" t="s">
        <v>590</v>
      </c>
      <c r="H7" s="133">
        <v>4060.0</v>
      </c>
      <c r="I7" s="98" t="s">
        <v>134</v>
      </c>
    </row>
    <row r="8" ht="15.75" customHeight="1">
      <c r="A8" s="154">
        <v>5.0</v>
      </c>
      <c r="B8" s="147" t="s">
        <v>240</v>
      </c>
      <c r="C8" s="133">
        <v>3500.0</v>
      </c>
      <c r="D8" s="134"/>
      <c r="F8" s="148">
        <v>45404.0</v>
      </c>
      <c r="G8" s="98" t="s">
        <v>591</v>
      </c>
      <c r="H8" s="133">
        <v>2500.0</v>
      </c>
      <c r="I8" s="98" t="s">
        <v>134</v>
      </c>
    </row>
    <row r="9" ht="15.75" customHeight="1">
      <c r="A9" s="133">
        <v>6.0</v>
      </c>
      <c r="B9" s="147" t="s">
        <v>193</v>
      </c>
      <c r="C9" s="133">
        <v>3500.0</v>
      </c>
      <c r="D9" s="134"/>
      <c r="F9" s="148">
        <v>45404.0</v>
      </c>
      <c r="G9" s="98" t="s">
        <v>592</v>
      </c>
      <c r="H9" s="133">
        <v>3000.0</v>
      </c>
      <c r="I9" s="98" t="s">
        <v>134</v>
      </c>
    </row>
    <row r="10" ht="15.75" customHeight="1">
      <c r="A10" s="133">
        <v>7.0</v>
      </c>
      <c r="B10" s="147" t="s">
        <v>532</v>
      </c>
      <c r="C10" s="133">
        <v>3500.0</v>
      </c>
      <c r="D10" s="134"/>
      <c r="F10" s="148">
        <v>45404.0</v>
      </c>
      <c r="G10" s="98" t="s">
        <v>593</v>
      </c>
      <c r="H10" s="133">
        <v>3000.0</v>
      </c>
      <c r="I10" s="98" t="s">
        <v>134</v>
      </c>
    </row>
    <row r="11" ht="15.75" customHeight="1">
      <c r="A11" s="133">
        <v>8.0</v>
      </c>
      <c r="B11" s="147" t="s">
        <v>594</v>
      </c>
      <c r="C11" s="133">
        <v>3500.0</v>
      </c>
      <c r="D11" s="134"/>
      <c r="F11" s="148">
        <v>45404.0</v>
      </c>
      <c r="G11" s="98" t="s">
        <v>595</v>
      </c>
      <c r="H11" s="133">
        <v>3000.0</v>
      </c>
      <c r="I11" s="98" t="s">
        <v>134</v>
      </c>
    </row>
    <row r="12" ht="15.75" customHeight="1">
      <c r="A12" s="133">
        <v>9.0</v>
      </c>
      <c r="B12" s="147" t="s">
        <v>192</v>
      </c>
      <c r="C12" s="133">
        <v>3500.0</v>
      </c>
      <c r="D12" s="134"/>
      <c r="F12" s="148">
        <v>45404.0</v>
      </c>
      <c r="G12" s="98" t="s">
        <v>596</v>
      </c>
      <c r="H12" s="133">
        <v>2500.0</v>
      </c>
      <c r="I12" s="98" t="s">
        <v>134</v>
      </c>
    </row>
    <row r="13" ht="15.75" customHeight="1">
      <c r="A13" s="133">
        <v>10.0</v>
      </c>
      <c r="B13" s="147" t="s">
        <v>188</v>
      </c>
      <c r="C13" s="133">
        <v>3500.0</v>
      </c>
      <c r="D13" s="134"/>
      <c r="F13" s="148">
        <v>45404.0</v>
      </c>
      <c r="G13" s="155" t="s">
        <v>542</v>
      </c>
      <c r="H13" s="133">
        <v>3000.0</v>
      </c>
      <c r="I13" s="98" t="s">
        <v>134</v>
      </c>
    </row>
    <row r="14" ht="15.75" customHeight="1">
      <c r="A14" s="133">
        <v>11.0</v>
      </c>
      <c r="B14" s="147" t="s">
        <v>597</v>
      </c>
      <c r="C14" s="133">
        <v>3500.0</v>
      </c>
      <c r="D14" s="134" t="s">
        <v>484</v>
      </c>
      <c r="F14" s="156"/>
      <c r="G14" s="98"/>
      <c r="H14" s="133"/>
      <c r="I14" s="98"/>
    </row>
    <row r="15" ht="15.75" customHeight="1">
      <c r="A15" s="133">
        <v>12.0</v>
      </c>
      <c r="B15" s="147" t="s">
        <v>353</v>
      </c>
      <c r="C15" s="133">
        <v>3500.0</v>
      </c>
      <c r="D15" s="134"/>
      <c r="F15" s="156"/>
      <c r="G15" s="98"/>
      <c r="H15" s="133"/>
      <c r="I15" s="98"/>
    </row>
    <row r="16" ht="15.75" customHeight="1">
      <c r="A16" s="133">
        <v>13.0</v>
      </c>
      <c r="B16" s="147" t="s">
        <v>598</v>
      </c>
      <c r="C16" s="133">
        <v>3500.0</v>
      </c>
      <c r="D16" s="134"/>
      <c r="F16" s="156"/>
      <c r="G16" s="98"/>
      <c r="H16" s="133"/>
      <c r="I16" s="98"/>
    </row>
    <row r="17" ht="15.75" customHeight="1">
      <c r="A17" s="133">
        <v>14.0</v>
      </c>
      <c r="B17" s="147" t="s">
        <v>445</v>
      </c>
      <c r="C17" s="133">
        <v>3500.0</v>
      </c>
      <c r="D17" s="134"/>
      <c r="F17" s="157"/>
      <c r="G17" s="98"/>
      <c r="H17" s="133"/>
      <c r="I17" s="98"/>
    </row>
    <row r="18" ht="15.75" customHeight="1">
      <c r="A18" s="133">
        <v>15.0</v>
      </c>
      <c r="B18" s="147" t="s">
        <v>274</v>
      </c>
      <c r="C18" s="133">
        <v>3500.0</v>
      </c>
      <c r="D18" s="134"/>
      <c r="F18" s="157"/>
      <c r="G18" s="98"/>
      <c r="H18" s="133"/>
      <c r="I18" s="98"/>
    </row>
    <row r="19" ht="15.75" customHeight="1">
      <c r="A19" s="133">
        <v>16.0</v>
      </c>
      <c r="B19" s="147" t="s">
        <v>244</v>
      </c>
      <c r="C19" s="133">
        <v>3500.0</v>
      </c>
      <c r="D19" s="134"/>
      <c r="F19" s="98"/>
      <c r="G19" s="98"/>
      <c r="H19" s="133"/>
      <c r="I19" s="98"/>
    </row>
    <row r="20" ht="15.75" customHeight="1">
      <c r="A20" s="133">
        <v>17.0</v>
      </c>
      <c r="B20" s="147" t="s">
        <v>420</v>
      </c>
      <c r="C20" s="133">
        <v>3500.0</v>
      </c>
      <c r="D20" s="134"/>
      <c r="F20" s="98"/>
      <c r="G20" s="98"/>
      <c r="H20" s="133"/>
      <c r="I20" s="98"/>
    </row>
    <row r="21" ht="15.75" customHeight="1">
      <c r="A21" s="133">
        <v>18.0</v>
      </c>
      <c r="B21" s="147" t="s">
        <v>52</v>
      </c>
      <c r="C21" s="133">
        <v>3500.0</v>
      </c>
      <c r="D21" s="134"/>
      <c r="F21" s="98"/>
      <c r="G21" s="98"/>
      <c r="H21" s="133"/>
      <c r="I21" s="98"/>
    </row>
    <row r="22" ht="15.75" customHeight="1">
      <c r="A22" s="133">
        <v>19.0</v>
      </c>
      <c r="B22" s="147" t="s">
        <v>599</v>
      </c>
      <c r="C22" s="133">
        <v>3500.0</v>
      </c>
      <c r="D22" s="134" t="s">
        <v>484</v>
      </c>
      <c r="F22" s="98"/>
      <c r="G22" s="98"/>
      <c r="H22" s="133"/>
      <c r="I22" s="98"/>
    </row>
    <row r="23" ht="15.75" customHeight="1">
      <c r="A23" s="133">
        <v>20.0</v>
      </c>
      <c r="B23" s="147" t="s">
        <v>600</v>
      </c>
      <c r="C23" s="133">
        <v>3500.0</v>
      </c>
      <c r="D23" s="134" t="s">
        <v>484</v>
      </c>
      <c r="F23" s="98"/>
      <c r="G23" s="98"/>
      <c r="H23" s="133"/>
      <c r="I23" s="98"/>
    </row>
    <row r="24" ht="15.75" customHeight="1">
      <c r="A24" s="133">
        <v>21.0</v>
      </c>
      <c r="B24" s="147" t="s">
        <v>601</v>
      </c>
      <c r="C24" s="133">
        <v>3500.0</v>
      </c>
      <c r="D24" s="134"/>
      <c r="F24" s="98"/>
      <c r="G24" s="98"/>
      <c r="H24" s="133"/>
      <c r="I24" s="98"/>
    </row>
    <row r="25" ht="15.75" customHeight="1">
      <c r="A25" s="133">
        <v>22.0</v>
      </c>
      <c r="B25" s="158" t="s">
        <v>49</v>
      </c>
      <c r="C25" s="133">
        <v>3500.0</v>
      </c>
      <c r="D25" s="134"/>
      <c r="F25" s="98"/>
      <c r="G25" s="98"/>
      <c r="H25" s="133"/>
      <c r="I25" s="98"/>
    </row>
    <row r="26" ht="15.75" customHeight="1">
      <c r="A26" s="154">
        <v>23.0</v>
      </c>
      <c r="B26" s="147" t="s">
        <v>602</v>
      </c>
      <c r="C26" s="133">
        <v>3500.0</v>
      </c>
      <c r="D26" s="134"/>
      <c r="F26" s="98"/>
      <c r="G26" s="98"/>
      <c r="H26" s="133"/>
      <c r="I26" s="98"/>
    </row>
    <row r="27" ht="15.75" customHeight="1">
      <c r="A27" s="133">
        <v>24.0</v>
      </c>
      <c r="B27" s="147" t="s">
        <v>198</v>
      </c>
      <c r="C27" s="133">
        <v>3500.0</v>
      </c>
      <c r="D27" s="134"/>
      <c r="F27" s="98"/>
      <c r="G27" s="98"/>
      <c r="H27" s="133"/>
      <c r="I27" s="98"/>
    </row>
    <row r="28" ht="15.75" customHeight="1">
      <c r="A28" s="133">
        <v>25.0</v>
      </c>
      <c r="B28" s="147" t="s">
        <v>603</v>
      </c>
      <c r="C28" s="133">
        <v>3500.0</v>
      </c>
      <c r="D28" s="134" t="s">
        <v>484</v>
      </c>
      <c r="F28" s="98"/>
      <c r="G28" s="98"/>
      <c r="H28" s="133"/>
      <c r="I28" s="98"/>
    </row>
    <row r="29" ht="15.75" customHeight="1">
      <c r="A29" s="133">
        <v>26.0</v>
      </c>
      <c r="B29" s="147" t="s">
        <v>431</v>
      </c>
      <c r="C29" s="133">
        <v>3500.0</v>
      </c>
      <c r="D29" s="134"/>
      <c r="F29" s="98"/>
      <c r="G29" s="98"/>
      <c r="H29" s="133"/>
      <c r="I29" s="98"/>
    </row>
    <row r="30" ht="15.75" customHeight="1">
      <c r="A30" s="133">
        <v>27.0</v>
      </c>
      <c r="B30" s="147" t="s">
        <v>335</v>
      </c>
      <c r="C30" s="133">
        <v>3500.0</v>
      </c>
      <c r="D30" s="134"/>
      <c r="F30" s="98"/>
      <c r="G30" s="98"/>
      <c r="H30" s="133"/>
      <c r="I30" s="98"/>
    </row>
    <row r="31" ht="15.75" customHeight="1">
      <c r="A31" s="133">
        <v>28.0</v>
      </c>
      <c r="B31" s="147" t="s">
        <v>422</v>
      </c>
      <c r="C31" s="133">
        <v>3000.0</v>
      </c>
      <c r="D31" s="134"/>
      <c r="F31" s="98"/>
      <c r="G31" s="98"/>
      <c r="H31" s="133"/>
      <c r="I31" s="98"/>
    </row>
    <row r="32" ht="15.75" customHeight="1">
      <c r="A32" s="133">
        <v>29.0</v>
      </c>
      <c r="B32" s="147" t="s">
        <v>36</v>
      </c>
      <c r="C32" s="133">
        <v>3000.0</v>
      </c>
      <c r="D32" s="134"/>
      <c r="F32" s="98"/>
      <c r="G32" s="98"/>
      <c r="H32" s="133"/>
      <c r="I32" s="98"/>
    </row>
    <row r="33" ht="15.75" customHeight="1">
      <c r="A33" s="133">
        <v>30.0</v>
      </c>
      <c r="B33" s="147" t="s">
        <v>604</v>
      </c>
      <c r="C33" s="133">
        <v>3000.0</v>
      </c>
      <c r="D33" s="134" t="s">
        <v>484</v>
      </c>
      <c r="F33" s="98"/>
      <c r="G33" s="98"/>
      <c r="H33" s="133"/>
      <c r="I33" s="98"/>
    </row>
    <row r="34" ht="15.75" customHeight="1">
      <c r="A34" s="133">
        <v>31.0</v>
      </c>
      <c r="B34" s="147" t="s">
        <v>605</v>
      </c>
      <c r="C34" s="133">
        <v>3000.0</v>
      </c>
      <c r="D34" s="159"/>
      <c r="F34" s="98"/>
      <c r="G34" s="98"/>
      <c r="H34" s="133"/>
      <c r="I34" s="98"/>
    </row>
    <row r="35" ht="15.75" customHeight="1">
      <c r="A35" s="133">
        <v>32.0</v>
      </c>
      <c r="B35" s="147" t="s">
        <v>606</v>
      </c>
      <c r="C35" s="133">
        <v>3000.0</v>
      </c>
      <c r="D35" s="159"/>
      <c r="F35" s="98"/>
      <c r="G35" s="98"/>
      <c r="H35" s="133"/>
      <c r="I35" s="98"/>
    </row>
    <row r="36" ht="15.75" customHeight="1">
      <c r="A36" s="133">
        <v>33.0</v>
      </c>
      <c r="B36" s="160" t="s">
        <v>151</v>
      </c>
      <c r="C36" s="154">
        <v>0.0</v>
      </c>
      <c r="D36" s="134"/>
      <c r="F36" s="98"/>
      <c r="G36" s="98"/>
      <c r="H36" s="133"/>
      <c r="I36" s="98"/>
    </row>
    <row r="37" ht="15.75" customHeight="1">
      <c r="A37" s="133">
        <v>34.0</v>
      </c>
      <c r="B37" s="160" t="s">
        <v>259</v>
      </c>
      <c r="C37" s="154">
        <v>140.0</v>
      </c>
      <c r="D37" s="134" t="s">
        <v>139</v>
      </c>
      <c r="F37" s="98"/>
      <c r="G37" s="98"/>
      <c r="H37" s="133"/>
      <c r="I37" s="98"/>
    </row>
    <row r="38" ht="15.75" customHeight="1">
      <c r="A38" s="133"/>
      <c r="B38" s="98"/>
      <c r="C38" s="133"/>
      <c r="D38" s="134"/>
      <c r="F38" s="98"/>
      <c r="G38" s="98"/>
      <c r="H38" s="133"/>
      <c r="I38" s="98"/>
    </row>
    <row r="39" ht="15.75" customHeight="1">
      <c r="A39" s="139"/>
      <c r="B39" s="161" t="s">
        <v>119</v>
      </c>
      <c r="C39" s="162">
        <f>SUM(C4:C38)</f>
        <v>109640</v>
      </c>
      <c r="F39" s="98"/>
      <c r="G39" s="161" t="s">
        <v>119</v>
      </c>
      <c r="H39" s="163">
        <f>SUM(H4:H38)</f>
        <v>105110</v>
      </c>
      <c r="I39" s="98"/>
    </row>
    <row r="40" ht="15.75" customHeight="1">
      <c r="A40" s="139"/>
      <c r="C40" s="139"/>
      <c r="H40" s="139"/>
    </row>
    <row r="41" ht="15.75" customHeight="1">
      <c r="A41" s="139"/>
      <c r="B41" s="54"/>
      <c r="C41" s="139"/>
      <c r="G41" s="130" t="s">
        <v>157</v>
      </c>
      <c r="H41" s="164">
        <f>C39-H39</f>
        <v>4530</v>
      </c>
    </row>
    <row r="42" ht="15.75" customHeight="1">
      <c r="A42" s="139"/>
      <c r="C42" s="139"/>
      <c r="G42" s="131" t="s">
        <v>607</v>
      </c>
      <c r="H42" s="165">
        <v>10000.0</v>
      </c>
    </row>
    <row r="43" ht="15.75" customHeight="1">
      <c r="A43" s="139"/>
      <c r="C43" s="139"/>
      <c r="G43" s="166" t="s">
        <v>159</v>
      </c>
      <c r="H43" s="167">
        <f>SUM(H41:H42)</f>
        <v>14530</v>
      </c>
    </row>
    <row r="44" ht="15.75" customHeight="1">
      <c r="A44" s="139"/>
      <c r="C44" s="139"/>
      <c r="H44" s="139"/>
    </row>
    <row r="45" ht="15.75" customHeight="1">
      <c r="A45" s="139"/>
      <c r="C45" s="139"/>
      <c r="H45" s="139"/>
    </row>
    <row r="46" ht="15.75" customHeight="1">
      <c r="A46" s="139"/>
      <c r="C46" s="139"/>
      <c r="H46" s="139"/>
    </row>
    <row r="47" ht="15.75" customHeight="1">
      <c r="A47" s="139"/>
      <c r="C47" s="139"/>
      <c r="H47" s="139"/>
    </row>
    <row r="48" ht="15.75" customHeight="1">
      <c r="A48" s="139"/>
      <c r="C48" s="139"/>
      <c r="H48" s="139"/>
    </row>
    <row r="49" ht="15.75" customHeight="1">
      <c r="A49" s="139"/>
      <c r="C49" s="139"/>
      <c r="H49" s="139"/>
    </row>
    <row r="50" ht="15.75" customHeight="1">
      <c r="A50" s="139"/>
      <c r="C50" s="139"/>
      <c r="H50" s="139"/>
    </row>
    <row r="51" ht="15.75" customHeight="1">
      <c r="A51" s="139"/>
      <c r="C51" s="139"/>
      <c r="H51" s="139"/>
    </row>
    <row r="52" ht="15.75" customHeight="1">
      <c r="A52" s="139"/>
      <c r="C52" s="139"/>
      <c r="H52" s="139"/>
    </row>
    <row r="53" ht="15.75" customHeight="1">
      <c r="A53" s="139"/>
      <c r="C53" s="139"/>
      <c r="H53" s="139"/>
    </row>
    <row r="54" ht="15.75" customHeight="1">
      <c r="A54" s="139"/>
      <c r="C54" s="139"/>
      <c r="H54" s="139"/>
    </row>
    <row r="55" ht="15.75" customHeight="1">
      <c r="A55" s="139"/>
      <c r="C55" s="139"/>
      <c r="H55" s="139"/>
    </row>
    <row r="56" ht="15.75" customHeight="1">
      <c r="A56" s="139"/>
      <c r="C56" s="139"/>
      <c r="H56" s="139"/>
    </row>
    <row r="57" ht="15.75" customHeight="1">
      <c r="A57" s="139"/>
      <c r="C57" s="139"/>
      <c r="H57" s="139"/>
    </row>
    <row r="58" ht="15.75" customHeight="1">
      <c r="A58" s="139"/>
      <c r="C58" s="139"/>
      <c r="H58" s="139"/>
    </row>
    <row r="59" ht="15.75" customHeight="1">
      <c r="A59" s="139"/>
      <c r="C59" s="139"/>
      <c r="H59" s="139"/>
    </row>
    <row r="60" ht="15.75" customHeight="1">
      <c r="A60" s="139"/>
      <c r="C60" s="139"/>
      <c r="H60" s="139"/>
    </row>
    <row r="61" ht="15.75" customHeight="1">
      <c r="A61" s="139"/>
      <c r="C61" s="139"/>
      <c r="H61" s="139"/>
    </row>
    <row r="62" ht="15.75" customHeight="1">
      <c r="A62" s="139"/>
      <c r="C62" s="139"/>
      <c r="H62" s="139"/>
    </row>
    <row r="63" ht="15.75" customHeight="1">
      <c r="A63" s="139"/>
      <c r="C63" s="139"/>
      <c r="H63" s="139"/>
    </row>
    <row r="64" ht="15.75" customHeight="1">
      <c r="A64" s="139"/>
      <c r="C64" s="139"/>
      <c r="H64" s="139"/>
    </row>
    <row r="65" ht="15.75" customHeight="1">
      <c r="A65" s="139"/>
      <c r="C65" s="139"/>
      <c r="H65" s="139"/>
    </row>
    <row r="66" ht="15.75" customHeight="1">
      <c r="A66" s="139"/>
      <c r="C66" s="139"/>
      <c r="H66" s="139"/>
    </row>
    <row r="67" ht="15.75" customHeight="1">
      <c r="A67" s="139"/>
      <c r="C67" s="139"/>
      <c r="H67" s="139"/>
    </row>
    <row r="68" ht="15.75" customHeight="1">
      <c r="A68" s="139"/>
      <c r="C68" s="139"/>
      <c r="H68" s="139"/>
    </row>
    <row r="69" ht="15.75" customHeight="1">
      <c r="A69" s="139"/>
      <c r="C69" s="139"/>
      <c r="H69" s="139"/>
    </row>
    <row r="70" ht="15.75" customHeight="1">
      <c r="A70" s="139"/>
      <c r="C70" s="139"/>
      <c r="H70" s="139"/>
    </row>
    <row r="71" ht="15.75" customHeight="1">
      <c r="A71" s="139"/>
      <c r="C71" s="139"/>
      <c r="H71" s="139"/>
    </row>
    <row r="72" ht="15.75" customHeight="1">
      <c r="A72" s="139"/>
      <c r="C72" s="139"/>
      <c r="H72" s="139"/>
    </row>
    <row r="73" ht="15.75" customHeight="1">
      <c r="A73" s="139"/>
      <c r="C73" s="139"/>
      <c r="H73" s="139"/>
    </row>
    <row r="74" ht="15.75" customHeight="1">
      <c r="A74" s="139"/>
      <c r="C74" s="139"/>
      <c r="H74" s="139"/>
    </row>
    <row r="75" ht="15.75" customHeight="1">
      <c r="A75" s="139"/>
      <c r="C75" s="139"/>
      <c r="H75" s="139"/>
    </row>
    <row r="76" ht="15.75" customHeight="1">
      <c r="A76" s="139"/>
      <c r="C76" s="139"/>
      <c r="H76" s="139"/>
    </row>
    <row r="77" ht="15.75" customHeight="1">
      <c r="A77" s="139"/>
      <c r="C77" s="139"/>
      <c r="H77" s="139"/>
    </row>
    <row r="78" ht="15.75" customHeight="1">
      <c r="A78" s="139"/>
      <c r="C78" s="139"/>
      <c r="H78" s="139"/>
    </row>
    <row r="79" ht="15.75" customHeight="1">
      <c r="A79" s="139"/>
      <c r="C79" s="139"/>
      <c r="H79" s="139"/>
    </row>
    <row r="80" ht="15.75" customHeight="1">
      <c r="A80" s="139"/>
      <c r="C80" s="139"/>
      <c r="H80" s="139"/>
    </row>
    <row r="81" ht="15.75" customHeight="1">
      <c r="A81" s="139"/>
      <c r="C81" s="139"/>
      <c r="H81" s="139"/>
    </row>
    <row r="82" ht="15.75" customHeight="1">
      <c r="A82" s="139"/>
      <c r="C82" s="139"/>
      <c r="H82" s="139"/>
    </row>
    <row r="83" ht="15.75" customHeight="1">
      <c r="A83" s="139"/>
      <c r="C83" s="139"/>
      <c r="H83" s="139"/>
    </row>
    <row r="84" ht="15.75" customHeight="1">
      <c r="A84" s="139"/>
      <c r="C84" s="139"/>
      <c r="H84" s="139"/>
    </row>
    <row r="85" ht="15.75" customHeight="1">
      <c r="A85" s="139"/>
      <c r="C85" s="139"/>
      <c r="H85" s="139"/>
    </row>
    <row r="86" ht="15.75" customHeight="1">
      <c r="A86" s="139"/>
      <c r="C86" s="139"/>
      <c r="H86" s="139"/>
    </row>
    <row r="87" ht="15.75" customHeight="1">
      <c r="A87" s="139"/>
      <c r="C87" s="139"/>
      <c r="H87" s="139"/>
    </row>
    <row r="88" ht="15.75" customHeight="1">
      <c r="A88" s="139"/>
      <c r="C88" s="139"/>
      <c r="H88" s="139"/>
    </row>
    <row r="89" ht="15.75" customHeight="1">
      <c r="A89" s="139"/>
      <c r="C89" s="139"/>
      <c r="H89" s="139"/>
    </row>
    <row r="90" ht="15.75" customHeight="1">
      <c r="A90" s="139"/>
      <c r="C90" s="139"/>
      <c r="H90" s="139"/>
    </row>
    <row r="91" ht="15.75" customHeight="1">
      <c r="A91" s="139"/>
      <c r="C91" s="139"/>
      <c r="H91" s="139"/>
    </row>
    <row r="92" ht="15.75" customHeight="1">
      <c r="A92" s="139"/>
      <c r="C92" s="139"/>
      <c r="H92" s="139"/>
    </row>
    <row r="93" ht="15.75" customHeight="1">
      <c r="A93" s="139"/>
      <c r="C93" s="139"/>
      <c r="H93" s="139"/>
    </row>
    <row r="94" ht="15.75" customHeight="1">
      <c r="A94" s="139"/>
      <c r="C94" s="139"/>
      <c r="H94" s="139"/>
    </row>
    <row r="95" ht="15.75" customHeight="1">
      <c r="A95" s="139"/>
      <c r="C95" s="139"/>
      <c r="H95" s="139"/>
    </row>
    <row r="96" ht="15.75" customHeight="1">
      <c r="A96" s="139"/>
      <c r="C96" s="139"/>
      <c r="H96" s="139"/>
    </row>
    <row r="97" ht="15.75" customHeight="1">
      <c r="A97" s="139"/>
      <c r="C97" s="139"/>
      <c r="H97" s="139"/>
    </row>
    <row r="98" ht="15.75" customHeight="1">
      <c r="A98" s="139"/>
      <c r="C98" s="139"/>
      <c r="H98" s="139"/>
    </row>
    <row r="99" ht="15.75" customHeight="1">
      <c r="A99" s="139"/>
      <c r="C99" s="139"/>
      <c r="H99" s="139"/>
    </row>
    <row r="100" ht="15.75" customHeight="1">
      <c r="A100" s="139"/>
      <c r="C100" s="139"/>
      <c r="H100" s="139"/>
    </row>
    <row r="101" ht="15.75" customHeight="1">
      <c r="A101" s="139"/>
      <c r="C101" s="139"/>
      <c r="H101" s="139"/>
    </row>
    <row r="102" ht="15.75" customHeight="1">
      <c r="A102" s="139"/>
      <c r="C102" s="139"/>
      <c r="H102" s="139"/>
    </row>
    <row r="103" ht="15.75" customHeight="1">
      <c r="A103" s="139"/>
      <c r="C103" s="139"/>
      <c r="H103" s="139"/>
    </row>
    <row r="104" ht="15.75" customHeight="1">
      <c r="A104" s="139"/>
      <c r="C104" s="139"/>
      <c r="H104" s="139"/>
    </row>
    <row r="105" ht="15.75" customHeight="1">
      <c r="A105" s="139"/>
      <c r="C105" s="139"/>
      <c r="H105" s="139"/>
    </row>
    <row r="106" ht="15.75" customHeight="1">
      <c r="A106" s="139"/>
      <c r="C106" s="139"/>
      <c r="H106" s="139"/>
    </row>
    <row r="107" ht="15.75" customHeight="1">
      <c r="A107" s="139"/>
      <c r="C107" s="139"/>
      <c r="H107" s="139"/>
    </row>
    <row r="108" ht="15.75" customHeight="1">
      <c r="A108" s="139"/>
      <c r="C108" s="139"/>
      <c r="H108" s="139"/>
    </row>
    <row r="109" ht="15.75" customHeight="1">
      <c r="A109" s="139"/>
      <c r="C109" s="139"/>
      <c r="H109" s="139"/>
    </row>
    <row r="110" ht="15.75" customHeight="1">
      <c r="A110" s="139"/>
      <c r="C110" s="139"/>
      <c r="H110" s="139"/>
    </row>
    <row r="111" ht="15.75" customHeight="1">
      <c r="A111" s="139"/>
      <c r="C111" s="139"/>
      <c r="H111" s="139"/>
    </row>
    <row r="112" ht="15.75" customHeight="1">
      <c r="A112" s="139"/>
      <c r="C112" s="139"/>
      <c r="H112" s="139"/>
    </row>
    <row r="113" ht="15.75" customHeight="1">
      <c r="A113" s="139"/>
      <c r="C113" s="139"/>
      <c r="H113" s="139"/>
    </row>
    <row r="114" ht="15.75" customHeight="1">
      <c r="A114" s="139"/>
      <c r="C114" s="139"/>
      <c r="H114" s="139"/>
    </row>
    <row r="115" ht="15.75" customHeight="1">
      <c r="A115" s="139"/>
      <c r="C115" s="139"/>
      <c r="H115" s="139"/>
    </row>
    <row r="116" ht="15.75" customHeight="1">
      <c r="A116" s="139"/>
      <c r="C116" s="139"/>
      <c r="H116" s="139"/>
    </row>
    <row r="117" ht="15.75" customHeight="1">
      <c r="A117" s="139"/>
      <c r="C117" s="139"/>
      <c r="H117" s="139"/>
    </row>
    <row r="118" ht="15.75" customHeight="1">
      <c r="A118" s="139"/>
      <c r="C118" s="139"/>
      <c r="H118" s="139"/>
    </row>
    <row r="119" ht="15.75" customHeight="1">
      <c r="A119" s="139"/>
      <c r="C119" s="139"/>
      <c r="H119" s="139"/>
    </row>
    <row r="120" ht="15.75" customHeight="1">
      <c r="A120" s="139"/>
      <c r="C120" s="139"/>
      <c r="H120" s="139"/>
    </row>
    <row r="121" ht="15.75" customHeight="1">
      <c r="A121" s="139"/>
      <c r="C121" s="139"/>
      <c r="H121" s="139"/>
    </row>
    <row r="122" ht="15.75" customHeight="1">
      <c r="A122" s="139"/>
      <c r="C122" s="139"/>
      <c r="H122" s="139"/>
    </row>
    <row r="123" ht="15.75" customHeight="1">
      <c r="A123" s="139"/>
      <c r="C123" s="139"/>
      <c r="H123" s="139"/>
    </row>
    <row r="124" ht="15.75" customHeight="1">
      <c r="A124" s="139"/>
      <c r="C124" s="139"/>
      <c r="H124" s="139"/>
    </row>
    <row r="125" ht="15.75" customHeight="1">
      <c r="A125" s="139"/>
      <c r="C125" s="139"/>
      <c r="H125" s="139"/>
    </row>
    <row r="126" ht="15.75" customHeight="1">
      <c r="A126" s="139"/>
      <c r="C126" s="139"/>
      <c r="H126" s="139"/>
    </row>
    <row r="127" ht="15.75" customHeight="1">
      <c r="A127" s="139"/>
      <c r="C127" s="139"/>
      <c r="H127" s="139"/>
    </row>
    <row r="128" ht="15.75" customHeight="1">
      <c r="A128" s="139"/>
      <c r="C128" s="139"/>
      <c r="H128" s="139"/>
    </row>
    <row r="129" ht="15.75" customHeight="1">
      <c r="A129" s="139"/>
      <c r="C129" s="139"/>
      <c r="H129" s="139"/>
    </row>
    <row r="130" ht="15.75" customHeight="1">
      <c r="A130" s="139"/>
      <c r="C130" s="139"/>
      <c r="H130" s="139"/>
    </row>
    <row r="131" ht="15.75" customHeight="1">
      <c r="A131" s="139"/>
      <c r="C131" s="139"/>
      <c r="H131" s="139"/>
    </row>
    <row r="132" ht="15.75" customHeight="1">
      <c r="A132" s="139"/>
      <c r="C132" s="139"/>
      <c r="H132" s="139"/>
    </row>
    <row r="133" ht="15.75" customHeight="1">
      <c r="A133" s="139"/>
      <c r="C133" s="139"/>
      <c r="H133" s="139"/>
    </row>
    <row r="134" ht="15.75" customHeight="1">
      <c r="A134" s="139"/>
      <c r="C134" s="139"/>
      <c r="H134" s="139"/>
    </row>
    <row r="135" ht="15.75" customHeight="1">
      <c r="A135" s="139"/>
      <c r="C135" s="139"/>
      <c r="H135" s="139"/>
    </row>
    <row r="136" ht="15.75" customHeight="1">
      <c r="A136" s="139"/>
      <c r="C136" s="139"/>
      <c r="H136" s="139"/>
    </row>
    <row r="137" ht="15.75" customHeight="1">
      <c r="A137" s="139"/>
      <c r="C137" s="139"/>
      <c r="H137" s="139"/>
    </row>
    <row r="138" ht="15.75" customHeight="1">
      <c r="A138" s="139"/>
      <c r="C138" s="139"/>
      <c r="H138" s="139"/>
    </row>
    <row r="139" ht="15.75" customHeight="1">
      <c r="A139" s="139"/>
      <c r="C139" s="139"/>
      <c r="H139" s="139"/>
    </row>
    <row r="140" ht="15.75" customHeight="1">
      <c r="A140" s="139"/>
      <c r="C140" s="139"/>
      <c r="H140" s="139"/>
    </row>
    <row r="141" ht="15.75" customHeight="1">
      <c r="A141" s="139"/>
      <c r="C141" s="139"/>
      <c r="H141" s="139"/>
    </row>
    <row r="142" ht="15.75" customHeight="1">
      <c r="A142" s="139"/>
      <c r="C142" s="139"/>
      <c r="H142" s="139"/>
    </row>
    <row r="143" ht="15.75" customHeight="1">
      <c r="A143" s="139"/>
      <c r="C143" s="139"/>
      <c r="H143" s="139"/>
    </row>
    <row r="144" ht="15.75" customHeight="1">
      <c r="A144" s="139"/>
      <c r="C144" s="139"/>
      <c r="H144" s="139"/>
    </row>
    <row r="145" ht="15.75" customHeight="1">
      <c r="A145" s="139"/>
      <c r="C145" s="139"/>
      <c r="H145" s="139"/>
    </row>
    <row r="146" ht="15.75" customHeight="1">
      <c r="A146" s="139"/>
      <c r="C146" s="139"/>
      <c r="H146" s="139"/>
    </row>
    <row r="147" ht="15.75" customHeight="1">
      <c r="A147" s="139"/>
      <c r="C147" s="139"/>
      <c r="H147" s="139"/>
    </row>
    <row r="148" ht="15.75" customHeight="1">
      <c r="A148" s="139"/>
      <c r="C148" s="139"/>
      <c r="H148" s="139"/>
    </row>
    <row r="149" ht="15.75" customHeight="1">
      <c r="A149" s="139"/>
      <c r="C149" s="139"/>
      <c r="H149" s="139"/>
    </row>
    <row r="150" ht="15.75" customHeight="1">
      <c r="A150" s="139"/>
      <c r="C150" s="139"/>
      <c r="H150" s="139"/>
    </row>
    <row r="151" ht="15.75" customHeight="1">
      <c r="A151" s="139"/>
      <c r="C151" s="139"/>
      <c r="H151" s="139"/>
    </row>
    <row r="152" ht="15.75" customHeight="1">
      <c r="A152" s="139"/>
      <c r="C152" s="139"/>
      <c r="H152" s="139"/>
    </row>
    <row r="153" ht="15.75" customHeight="1">
      <c r="A153" s="139"/>
      <c r="C153" s="139"/>
      <c r="H153" s="139"/>
    </row>
    <row r="154" ht="15.75" customHeight="1">
      <c r="A154" s="139"/>
      <c r="C154" s="139"/>
      <c r="H154" s="139"/>
    </row>
    <row r="155" ht="15.75" customHeight="1">
      <c r="A155" s="139"/>
      <c r="C155" s="139"/>
      <c r="H155" s="139"/>
    </row>
    <row r="156" ht="15.75" customHeight="1">
      <c r="A156" s="139"/>
      <c r="C156" s="139"/>
      <c r="H156" s="139"/>
    </row>
    <row r="157" ht="15.75" customHeight="1">
      <c r="A157" s="139"/>
      <c r="C157" s="139"/>
      <c r="H157" s="139"/>
    </row>
    <row r="158" ht="15.75" customHeight="1">
      <c r="A158" s="139"/>
      <c r="C158" s="139"/>
      <c r="H158" s="139"/>
    </row>
    <row r="159" ht="15.75" customHeight="1">
      <c r="A159" s="139"/>
      <c r="C159" s="139"/>
      <c r="H159" s="139"/>
    </row>
    <row r="160" ht="15.75" customHeight="1">
      <c r="A160" s="139"/>
      <c r="C160" s="139"/>
      <c r="H160" s="139"/>
    </row>
    <row r="161" ht="15.75" customHeight="1">
      <c r="A161" s="139"/>
      <c r="C161" s="139"/>
      <c r="H161" s="139"/>
    </row>
    <row r="162" ht="15.75" customHeight="1">
      <c r="A162" s="139"/>
      <c r="C162" s="139"/>
      <c r="H162" s="139"/>
    </row>
    <row r="163" ht="15.75" customHeight="1">
      <c r="A163" s="139"/>
      <c r="C163" s="139"/>
      <c r="H163" s="139"/>
    </row>
    <row r="164" ht="15.75" customHeight="1">
      <c r="A164" s="139"/>
      <c r="C164" s="139"/>
      <c r="H164" s="139"/>
    </row>
    <row r="165" ht="15.75" customHeight="1">
      <c r="A165" s="139"/>
      <c r="C165" s="139"/>
      <c r="H165" s="139"/>
    </row>
    <row r="166" ht="15.75" customHeight="1">
      <c r="A166" s="139"/>
      <c r="C166" s="139"/>
      <c r="H166" s="139"/>
    </row>
    <row r="167" ht="15.75" customHeight="1">
      <c r="A167" s="139"/>
      <c r="C167" s="139"/>
      <c r="H167" s="139"/>
    </row>
    <row r="168" ht="15.75" customHeight="1">
      <c r="A168" s="139"/>
      <c r="C168" s="139"/>
      <c r="H168" s="139"/>
    </row>
    <row r="169" ht="15.75" customHeight="1">
      <c r="A169" s="139"/>
      <c r="C169" s="139"/>
      <c r="H169" s="139"/>
    </row>
    <row r="170" ht="15.75" customHeight="1">
      <c r="A170" s="139"/>
      <c r="C170" s="139"/>
      <c r="H170" s="139"/>
    </row>
    <row r="171" ht="15.75" customHeight="1">
      <c r="A171" s="139"/>
      <c r="C171" s="139"/>
      <c r="H171" s="139"/>
    </row>
    <row r="172" ht="15.75" customHeight="1">
      <c r="A172" s="139"/>
      <c r="C172" s="139"/>
      <c r="H172" s="139"/>
    </row>
    <row r="173" ht="15.75" customHeight="1">
      <c r="A173" s="139"/>
      <c r="C173" s="139"/>
      <c r="H173" s="139"/>
    </row>
    <row r="174" ht="15.75" customHeight="1">
      <c r="A174" s="139"/>
      <c r="C174" s="139"/>
      <c r="H174" s="139"/>
    </row>
    <row r="175" ht="15.75" customHeight="1">
      <c r="A175" s="139"/>
      <c r="C175" s="139"/>
      <c r="H175" s="139"/>
    </row>
    <row r="176" ht="15.75" customHeight="1">
      <c r="A176" s="139"/>
      <c r="C176" s="139"/>
      <c r="H176" s="139"/>
    </row>
    <row r="177" ht="15.75" customHeight="1">
      <c r="A177" s="139"/>
      <c r="C177" s="139"/>
      <c r="H177" s="139"/>
    </row>
    <row r="178" ht="15.75" customHeight="1">
      <c r="A178" s="139"/>
      <c r="C178" s="139"/>
      <c r="H178" s="139"/>
    </row>
    <row r="179" ht="15.75" customHeight="1">
      <c r="A179" s="139"/>
      <c r="C179" s="139"/>
      <c r="H179" s="139"/>
    </row>
    <row r="180" ht="15.75" customHeight="1">
      <c r="A180" s="139"/>
      <c r="C180" s="139"/>
      <c r="H180" s="139"/>
    </row>
    <row r="181" ht="15.75" customHeight="1">
      <c r="A181" s="139"/>
      <c r="C181" s="139"/>
      <c r="H181" s="139"/>
    </row>
    <row r="182" ht="15.75" customHeight="1">
      <c r="A182" s="139"/>
      <c r="C182" s="139"/>
      <c r="H182" s="139"/>
    </row>
    <row r="183" ht="15.75" customHeight="1">
      <c r="A183" s="139"/>
      <c r="C183" s="139"/>
      <c r="H183" s="139"/>
    </row>
    <row r="184" ht="15.75" customHeight="1">
      <c r="A184" s="139"/>
      <c r="C184" s="139"/>
      <c r="H184" s="139"/>
    </row>
    <row r="185" ht="15.75" customHeight="1">
      <c r="A185" s="139"/>
      <c r="C185" s="139"/>
      <c r="H185" s="139"/>
    </row>
    <row r="186" ht="15.75" customHeight="1">
      <c r="A186" s="139"/>
      <c r="C186" s="139"/>
      <c r="H186" s="139"/>
    </row>
    <row r="187" ht="15.75" customHeight="1">
      <c r="A187" s="139"/>
      <c r="C187" s="139"/>
      <c r="H187" s="139"/>
    </row>
    <row r="188" ht="15.75" customHeight="1">
      <c r="A188" s="139"/>
      <c r="C188" s="139"/>
      <c r="H188" s="139"/>
    </row>
    <row r="189" ht="15.75" customHeight="1">
      <c r="A189" s="139"/>
      <c r="C189" s="139"/>
      <c r="H189" s="139"/>
    </row>
    <row r="190" ht="15.75" customHeight="1">
      <c r="A190" s="139"/>
      <c r="C190" s="139"/>
      <c r="H190" s="139"/>
    </row>
    <row r="191" ht="15.75" customHeight="1">
      <c r="A191" s="139"/>
      <c r="C191" s="139"/>
      <c r="H191" s="139"/>
    </row>
    <row r="192" ht="15.75" customHeight="1">
      <c r="A192" s="139"/>
      <c r="C192" s="139"/>
      <c r="H192" s="139"/>
    </row>
    <row r="193" ht="15.75" customHeight="1">
      <c r="A193" s="139"/>
      <c r="C193" s="139"/>
      <c r="H193" s="139"/>
    </row>
    <row r="194" ht="15.75" customHeight="1">
      <c r="A194" s="139"/>
      <c r="C194" s="139"/>
      <c r="H194" s="139"/>
    </row>
    <row r="195" ht="15.75" customHeight="1">
      <c r="A195" s="139"/>
      <c r="C195" s="139"/>
      <c r="H195" s="139"/>
    </row>
    <row r="196" ht="15.75" customHeight="1">
      <c r="A196" s="139"/>
      <c r="C196" s="139"/>
      <c r="H196" s="139"/>
    </row>
    <row r="197" ht="15.75" customHeight="1">
      <c r="A197" s="139"/>
      <c r="C197" s="139"/>
      <c r="H197" s="139"/>
    </row>
    <row r="198" ht="15.75" customHeight="1">
      <c r="A198" s="139"/>
      <c r="C198" s="139"/>
      <c r="H198" s="139"/>
    </row>
    <row r="199" ht="15.75" customHeight="1">
      <c r="A199" s="139"/>
      <c r="C199" s="139"/>
      <c r="H199" s="139"/>
    </row>
    <row r="200" ht="15.75" customHeight="1">
      <c r="A200" s="139"/>
      <c r="C200" s="139"/>
      <c r="H200" s="139"/>
    </row>
    <row r="201" ht="15.75" customHeight="1">
      <c r="A201" s="139"/>
      <c r="C201" s="139"/>
      <c r="H201" s="139"/>
    </row>
    <row r="202" ht="15.75" customHeight="1">
      <c r="A202" s="139"/>
      <c r="C202" s="139"/>
      <c r="H202" s="139"/>
    </row>
    <row r="203" ht="15.75" customHeight="1">
      <c r="A203" s="139"/>
      <c r="C203" s="139"/>
      <c r="H203" s="139"/>
    </row>
    <row r="204" ht="15.75" customHeight="1">
      <c r="A204" s="139"/>
      <c r="C204" s="139"/>
      <c r="H204" s="139"/>
    </row>
    <row r="205" ht="15.75" customHeight="1">
      <c r="A205" s="139"/>
      <c r="C205" s="139"/>
      <c r="H205" s="139"/>
    </row>
    <row r="206" ht="15.75" customHeight="1">
      <c r="A206" s="139"/>
      <c r="C206" s="139"/>
      <c r="H206" s="139"/>
    </row>
    <row r="207" ht="15.75" customHeight="1">
      <c r="A207" s="139"/>
      <c r="C207" s="139"/>
      <c r="H207" s="139"/>
    </row>
    <row r="208" ht="15.75" customHeight="1">
      <c r="A208" s="139"/>
      <c r="C208" s="139"/>
      <c r="H208" s="139"/>
    </row>
    <row r="209" ht="15.75" customHeight="1">
      <c r="A209" s="139"/>
      <c r="C209" s="139"/>
      <c r="H209" s="139"/>
    </row>
    <row r="210" ht="15.75" customHeight="1">
      <c r="A210" s="139"/>
      <c r="C210" s="139"/>
      <c r="H210" s="139"/>
    </row>
    <row r="211" ht="15.75" customHeight="1">
      <c r="A211" s="139"/>
      <c r="C211" s="139"/>
      <c r="H211" s="139"/>
    </row>
    <row r="212" ht="15.75" customHeight="1">
      <c r="A212" s="139"/>
      <c r="C212" s="139"/>
      <c r="H212" s="139"/>
    </row>
    <row r="213" ht="15.75" customHeight="1">
      <c r="A213" s="139"/>
      <c r="C213" s="139"/>
      <c r="H213" s="139"/>
    </row>
    <row r="214" ht="15.75" customHeight="1">
      <c r="A214" s="139"/>
      <c r="C214" s="139"/>
      <c r="H214" s="139"/>
    </row>
    <row r="215" ht="15.75" customHeight="1">
      <c r="A215" s="139"/>
      <c r="C215" s="139"/>
      <c r="H215" s="139"/>
    </row>
    <row r="216" ht="15.75" customHeight="1">
      <c r="A216" s="139"/>
      <c r="C216" s="139"/>
      <c r="H216" s="139"/>
    </row>
    <row r="217" ht="15.75" customHeight="1">
      <c r="A217" s="139"/>
      <c r="C217" s="139"/>
      <c r="H217" s="139"/>
    </row>
    <row r="218" ht="15.75" customHeight="1">
      <c r="A218" s="139"/>
      <c r="C218" s="139"/>
      <c r="H218" s="139"/>
    </row>
    <row r="219" ht="15.75" customHeight="1">
      <c r="A219" s="139"/>
      <c r="C219" s="139"/>
      <c r="H219" s="139"/>
    </row>
    <row r="220" ht="15.75" customHeight="1">
      <c r="A220" s="139"/>
      <c r="C220" s="139"/>
      <c r="H220" s="139"/>
    </row>
    <row r="221" ht="15.75" customHeight="1">
      <c r="A221" s="139"/>
      <c r="C221" s="139"/>
      <c r="H221" s="139"/>
    </row>
    <row r="222" ht="15.75" customHeight="1">
      <c r="A222" s="139"/>
      <c r="C222" s="139"/>
      <c r="H222" s="139"/>
    </row>
    <row r="223" ht="15.75" customHeight="1">
      <c r="A223" s="139"/>
      <c r="C223" s="139"/>
      <c r="H223" s="139"/>
    </row>
    <row r="224" ht="15.75" customHeight="1">
      <c r="A224" s="139"/>
      <c r="C224" s="139"/>
      <c r="H224" s="139"/>
    </row>
    <row r="225" ht="15.75" customHeight="1">
      <c r="A225" s="139"/>
      <c r="C225" s="139"/>
      <c r="H225" s="139"/>
    </row>
    <row r="226" ht="15.75" customHeight="1">
      <c r="A226" s="139"/>
      <c r="C226" s="139"/>
      <c r="H226" s="139"/>
    </row>
    <row r="227" ht="15.75" customHeight="1">
      <c r="A227" s="139"/>
      <c r="C227" s="139"/>
      <c r="H227" s="139"/>
    </row>
    <row r="228" ht="15.75" customHeight="1">
      <c r="A228" s="139"/>
      <c r="C228" s="139"/>
      <c r="H228" s="139"/>
    </row>
    <row r="229" ht="15.75" customHeight="1">
      <c r="A229" s="139"/>
      <c r="C229" s="139"/>
      <c r="H229" s="139"/>
    </row>
    <row r="230" ht="15.75" customHeight="1">
      <c r="A230" s="139"/>
      <c r="C230" s="139"/>
      <c r="H230" s="139"/>
    </row>
    <row r="231" ht="15.75" customHeight="1">
      <c r="A231" s="139"/>
      <c r="C231" s="139"/>
      <c r="H231" s="139"/>
    </row>
    <row r="232" ht="15.75" customHeight="1">
      <c r="A232" s="139"/>
      <c r="C232" s="139"/>
      <c r="H232" s="139"/>
    </row>
    <row r="233" ht="15.75" customHeight="1">
      <c r="A233" s="139"/>
      <c r="C233" s="139"/>
      <c r="H233" s="139"/>
    </row>
    <row r="234" ht="15.75" customHeight="1">
      <c r="A234" s="139"/>
      <c r="C234" s="139"/>
      <c r="H234" s="139"/>
    </row>
    <row r="235" ht="15.75" customHeight="1">
      <c r="A235" s="139"/>
      <c r="C235" s="139"/>
      <c r="H235" s="139"/>
    </row>
    <row r="236" ht="15.75" customHeight="1">
      <c r="A236" s="139"/>
      <c r="C236" s="139"/>
      <c r="H236" s="139"/>
    </row>
    <row r="237" ht="15.75" customHeight="1">
      <c r="A237" s="139"/>
      <c r="C237" s="139"/>
      <c r="H237" s="139"/>
    </row>
    <row r="238" ht="15.75" customHeight="1">
      <c r="A238" s="139"/>
      <c r="C238" s="139"/>
      <c r="H238" s="139"/>
    </row>
    <row r="239" ht="15.75" customHeight="1">
      <c r="A239" s="139"/>
      <c r="C239" s="139"/>
      <c r="H239" s="139"/>
    </row>
    <row r="240" ht="15.75" customHeight="1">
      <c r="A240" s="139"/>
      <c r="C240" s="139"/>
      <c r="H240" s="139"/>
    </row>
    <row r="241" ht="15.75" customHeight="1">
      <c r="A241" s="139"/>
      <c r="C241" s="139"/>
      <c r="H241" s="139"/>
    </row>
    <row r="242" ht="15.75" customHeight="1">
      <c r="A242" s="139"/>
      <c r="C242" s="139"/>
      <c r="H242" s="139"/>
    </row>
    <row r="243" ht="15.75" customHeight="1">
      <c r="A243" s="139"/>
      <c r="C243" s="139"/>
      <c r="H243" s="13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D2"/>
    <mergeCell ref="F2:I2"/>
  </mergeCells>
  <printOptions/>
  <pageMargins bottom="0.75" footer="0.0" header="0.0" left="0.7" right="0.7" top="0.75"/>
  <pageSetup orientation="landscape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38"/>
    <col customWidth="1" min="3" max="3" width="8.63"/>
    <col customWidth="1" min="4" max="4" width="16.5"/>
    <col customWidth="1" min="5" max="5" width="3.88"/>
    <col customWidth="1" min="6" max="6" width="11.38"/>
    <col customWidth="1" min="7" max="7" width="25.5"/>
    <col customWidth="1" min="8" max="8" width="6.63"/>
    <col customWidth="1" min="9" max="9" width="15.63"/>
    <col customWidth="1" min="10" max="10" width="37.63"/>
  </cols>
  <sheetData>
    <row r="1" ht="15.75" customHeight="1">
      <c r="A1" s="112" t="s">
        <v>608</v>
      </c>
      <c r="B1" s="34"/>
      <c r="C1" s="34"/>
      <c r="D1" s="34"/>
      <c r="E1" s="34"/>
      <c r="F1" s="34"/>
      <c r="G1" s="34"/>
      <c r="H1" s="34"/>
      <c r="I1" s="141"/>
      <c r="J1" s="142"/>
    </row>
    <row r="2" ht="15.75" customHeight="1">
      <c r="A2" s="125" t="s">
        <v>124</v>
      </c>
      <c r="B2" s="34"/>
      <c r="C2" s="34"/>
      <c r="D2" s="21"/>
      <c r="F2" s="125" t="s">
        <v>125</v>
      </c>
      <c r="G2" s="34"/>
      <c r="H2" s="34"/>
      <c r="I2" s="21"/>
    </row>
    <row r="3" ht="15.75" customHeight="1">
      <c r="A3" s="143" t="s">
        <v>584</v>
      </c>
      <c r="B3" s="144" t="s">
        <v>585</v>
      </c>
      <c r="C3" s="144" t="s">
        <v>128</v>
      </c>
      <c r="D3" s="144" t="s">
        <v>6</v>
      </c>
      <c r="F3" s="143" t="s">
        <v>0</v>
      </c>
      <c r="G3" s="143" t="s">
        <v>129</v>
      </c>
      <c r="H3" s="145" t="s">
        <v>130</v>
      </c>
      <c r="I3" s="146" t="s">
        <v>6</v>
      </c>
    </row>
    <row r="4" ht="15.75" customHeight="1">
      <c r="A4" s="133">
        <v>1.0</v>
      </c>
      <c r="B4" s="98" t="s">
        <v>11</v>
      </c>
      <c r="C4" s="98">
        <v>3100.0</v>
      </c>
      <c r="D4" s="134"/>
      <c r="F4" s="148">
        <v>45354.0</v>
      </c>
      <c r="G4" s="149" t="s">
        <v>568</v>
      </c>
      <c r="H4" s="168">
        <v>10000.0</v>
      </c>
      <c r="I4" s="149" t="s">
        <v>134</v>
      </c>
      <c r="J4" s="151"/>
    </row>
    <row r="5" ht="15.75" customHeight="1">
      <c r="A5" s="133">
        <v>2.0</v>
      </c>
      <c r="B5" s="98" t="s">
        <v>564</v>
      </c>
      <c r="C5" s="98">
        <v>3100.0</v>
      </c>
      <c r="D5" s="134"/>
      <c r="F5" s="148">
        <v>45367.0</v>
      </c>
      <c r="G5" s="152" t="s">
        <v>588</v>
      </c>
      <c r="H5" s="169">
        <v>83080.0</v>
      </c>
      <c r="I5" s="98" t="s">
        <v>609</v>
      </c>
      <c r="J5" s="151"/>
    </row>
    <row r="6" ht="15.75" customHeight="1">
      <c r="A6" s="133">
        <v>3.0</v>
      </c>
      <c r="B6" s="98" t="s">
        <v>244</v>
      </c>
      <c r="C6" s="98">
        <v>3100.0</v>
      </c>
      <c r="D6" s="134"/>
      <c r="F6" s="148">
        <v>45368.0</v>
      </c>
      <c r="G6" s="152" t="s">
        <v>610</v>
      </c>
      <c r="H6" s="169">
        <v>2000.0</v>
      </c>
      <c r="I6" s="98" t="s">
        <v>609</v>
      </c>
    </row>
    <row r="7" ht="15.75" customHeight="1">
      <c r="A7" s="133">
        <v>4.0</v>
      </c>
      <c r="B7" s="98" t="s">
        <v>532</v>
      </c>
      <c r="C7" s="98">
        <v>3100.0</v>
      </c>
      <c r="D7" s="134"/>
      <c r="F7" s="148">
        <v>45367.0</v>
      </c>
      <c r="G7" s="98" t="s">
        <v>611</v>
      </c>
      <c r="H7" s="170">
        <v>3625.0</v>
      </c>
      <c r="I7" s="98" t="s">
        <v>612</v>
      </c>
    </row>
    <row r="8" ht="15.75" customHeight="1">
      <c r="A8" s="154">
        <v>5.0</v>
      </c>
      <c r="B8" s="98" t="s">
        <v>39</v>
      </c>
      <c r="C8" s="98">
        <v>3100.0</v>
      </c>
      <c r="D8" s="134"/>
      <c r="F8" s="156">
        <v>45370.0</v>
      </c>
      <c r="G8" s="98" t="s">
        <v>613</v>
      </c>
      <c r="H8" s="170">
        <v>1500.0</v>
      </c>
      <c r="I8" s="98" t="s">
        <v>609</v>
      </c>
    </row>
    <row r="9" ht="15.75" customHeight="1">
      <c r="A9" s="133">
        <v>6.0</v>
      </c>
      <c r="B9" s="98" t="s">
        <v>179</v>
      </c>
      <c r="C9" s="98">
        <v>3100.0</v>
      </c>
      <c r="D9" s="134"/>
      <c r="F9" s="156">
        <v>45370.0</v>
      </c>
      <c r="G9" s="98" t="s">
        <v>591</v>
      </c>
      <c r="H9" s="170">
        <v>1500.0</v>
      </c>
      <c r="I9" s="98" t="s">
        <v>614</v>
      </c>
    </row>
    <row r="10" ht="15.75" customHeight="1">
      <c r="A10" s="133">
        <v>7.0</v>
      </c>
      <c r="B10" s="98" t="s">
        <v>282</v>
      </c>
      <c r="C10" s="98">
        <v>3100.0</v>
      </c>
      <c r="D10" s="134"/>
      <c r="F10" s="156"/>
      <c r="G10" s="98"/>
      <c r="H10" s="170"/>
      <c r="I10" s="98"/>
    </row>
    <row r="11" ht="15.75" customHeight="1">
      <c r="A11" s="133">
        <v>8.0</v>
      </c>
      <c r="B11" s="98" t="s">
        <v>615</v>
      </c>
      <c r="C11" s="98">
        <v>3100.0</v>
      </c>
      <c r="D11" s="134"/>
      <c r="F11" s="156"/>
      <c r="G11" s="98"/>
      <c r="H11" s="170"/>
      <c r="I11" s="98"/>
    </row>
    <row r="12" ht="15.75" customHeight="1">
      <c r="A12" s="133">
        <v>9.0</v>
      </c>
      <c r="B12" s="98" t="s">
        <v>616</v>
      </c>
      <c r="C12" s="98">
        <v>3100.0</v>
      </c>
      <c r="D12" s="134"/>
      <c r="F12" s="156"/>
      <c r="G12" s="98"/>
      <c r="H12" s="170"/>
      <c r="I12" s="98"/>
    </row>
    <row r="13" ht="15.75" customHeight="1">
      <c r="A13" s="133">
        <v>10.0</v>
      </c>
      <c r="B13" s="136" t="s">
        <v>49</v>
      </c>
      <c r="C13" s="98">
        <v>3100.0</v>
      </c>
      <c r="D13" s="134"/>
      <c r="F13" s="156"/>
      <c r="G13" s="155"/>
      <c r="H13" s="170"/>
      <c r="I13" s="98"/>
    </row>
    <row r="14" ht="15.75" customHeight="1">
      <c r="A14" s="133">
        <v>11.0</v>
      </c>
      <c r="B14" s="98" t="s">
        <v>274</v>
      </c>
      <c r="C14" s="98">
        <v>3100.0</v>
      </c>
      <c r="D14" s="134"/>
      <c r="F14" s="156"/>
      <c r="G14" s="98"/>
      <c r="H14" s="170"/>
      <c r="I14" s="98"/>
    </row>
    <row r="15" ht="15.75" customHeight="1">
      <c r="A15" s="133">
        <v>12.0</v>
      </c>
      <c r="B15" s="98" t="s">
        <v>431</v>
      </c>
      <c r="C15" s="98">
        <v>3100.0</v>
      </c>
      <c r="D15" s="134"/>
      <c r="F15" s="156"/>
      <c r="G15" s="98"/>
      <c r="H15" s="170"/>
      <c r="I15" s="98"/>
    </row>
    <row r="16" ht="15.75" customHeight="1">
      <c r="A16" s="133">
        <v>13.0</v>
      </c>
      <c r="B16" s="147" t="s">
        <v>617</v>
      </c>
      <c r="C16" s="98">
        <v>3100.0</v>
      </c>
      <c r="D16" s="134"/>
      <c r="F16" s="156"/>
      <c r="G16" s="98"/>
      <c r="H16" s="170"/>
      <c r="I16" s="98"/>
    </row>
    <row r="17" ht="15.75" customHeight="1">
      <c r="A17" s="133">
        <v>14.0</v>
      </c>
      <c r="B17" s="147" t="s">
        <v>323</v>
      </c>
      <c r="C17" s="98">
        <v>3100.0</v>
      </c>
      <c r="D17" s="134"/>
      <c r="F17" s="157"/>
      <c r="G17" s="98"/>
      <c r="H17" s="170"/>
      <c r="I17" s="98"/>
    </row>
    <row r="18" ht="15.75" customHeight="1">
      <c r="A18" s="133">
        <v>15.0</v>
      </c>
      <c r="B18" s="147" t="s">
        <v>192</v>
      </c>
      <c r="C18" s="98">
        <v>3100.0</v>
      </c>
      <c r="D18" s="134"/>
      <c r="F18" s="157"/>
      <c r="G18" s="98"/>
      <c r="H18" s="170"/>
      <c r="I18" s="98"/>
    </row>
    <row r="19" ht="15.75" customHeight="1">
      <c r="A19" s="133">
        <v>16.0</v>
      </c>
      <c r="B19" s="147" t="s">
        <v>618</v>
      </c>
      <c r="C19" s="98">
        <v>3100.0</v>
      </c>
      <c r="D19" s="134"/>
      <c r="F19" s="98"/>
      <c r="G19" s="98"/>
      <c r="H19" s="170"/>
      <c r="I19" s="98"/>
    </row>
    <row r="20" ht="15.75" customHeight="1">
      <c r="A20" s="133">
        <v>17.0</v>
      </c>
      <c r="B20" s="147" t="s">
        <v>182</v>
      </c>
      <c r="C20" s="98">
        <v>3100.0</v>
      </c>
      <c r="D20" s="134"/>
      <c r="F20" s="98"/>
      <c r="G20" s="98"/>
      <c r="H20" s="170"/>
      <c r="I20" s="98"/>
    </row>
    <row r="21" ht="15.75" customHeight="1">
      <c r="A21" s="133">
        <v>18.0</v>
      </c>
      <c r="B21" s="147" t="s">
        <v>193</v>
      </c>
      <c r="C21" s="98">
        <v>3100.0</v>
      </c>
      <c r="D21" s="134"/>
      <c r="F21" s="98"/>
      <c r="G21" s="98"/>
      <c r="H21" s="170"/>
      <c r="I21" s="98"/>
    </row>
    <row r="22" ht="15.75" customHeight="1">
      <c r="A22" s="133">
        <v>19.0</v>
      </c>
      <c r="B22" s="147" t="s">
        <v>445</v>
      </c>
      <c r="C22" s="98">
        <v>3100.0</v>
      </c>
      <c r="D22" s="134"/>
      <c r="F22" s="98"/>
      <c r="G22" s="98"/>
      <c r="H22" s="98"/>
      <c r="I22" s="98"/>
    </row>
    <row r="23" ht="15.75" customHeight="1">
      <c r="A23" s="133">
        <v>20.0</v>
      </c>
      <c r="B23" s="158" t="s">
        <v>36</v>
      </c>
      <c r="C23" s="98">
        <v>3100.0</v>
      </c>
      <c r="D23" s="134"/>
      <c r="F23" s="98"/>
      <c r="G23" s="98"/>
      <c r="H23" s="98"/>
      <c r="I23" s="98"/>
    </row>
    <row r="24" ht="15.75" customHeight="1">
      <c r="A24" s="133">
        <v>21.0</v>
      </c>
      <c r="B24" s="147" t="s">
        <v>52</v>
      </c>
      <c r="C24" s="98">
        <v>3100.0</v>
      </c>
      <c r="D24" s="134"/>
      <c r="F24" s="98"/>
      <c r="G24" s="98"/>
      <c r="H24" s="98"/>
      <c r="I24" s="98"/>
    </row>
    <row r="25" ht="15.75" customHeight="1">
      <c r="A25" s="133">
        <v>22.0</v>
      </c>
      <c r="B25" s="147" t="s">
        <v>39</v>
      </c>
      <c r="C25" s="98">
        <v>3100.0</v>
      </c>
      <c r="D25" s="134"/>
      <c r="F25" s="98"/>
      <c r="G25" s="98"/>
      <c r="H25" s="98"/>
      <c r="I25" s="98"/>
    </row>
    <row r="26" ht="15.75" customHeight="1">
      <c r="A26" s="154">
        <v>23.0</v>
      </c>
      <c r="B26" s="147" t="s">
        <v>240</v>
      </c>
      <c r="C26" s="98">
        <v>3100.0</v>
      </c>
      <c r="D26" s="134"/>
      <c r="F26" s="98"/>
      <c r="G26" s="98"/>
      <c r="H26" s="98"/>
      <c r="I26" s="98"/>
    </row>
    <row r="27" ht="15.75" customHeight="1">
      <c r="A27" s="133">
        <v>24.0</v>
      </c>
      <c r="B27" s="147" t="s">
        <v>229</v>
      </c>
      <c r="C27" s="98">
        <v>3100.0</v>
      </c>
      <c r="D27" s="134"/>
      <c r="F27" s="98"/>
      <c r="G27" s="98"/>
      <c r="H27" s="98"/>
      <c r="I27" s="98"/>
    </row>
    <row r="28" ht="15.75" customHeight="1">
      <c r="A28" s="133">
        <v>25.0</v>
      </c>
      <c r="B28" s="147" t="s">
        <v>619</v>
      </c>
      <c r="C28" s="98">
        <v>3100.0</v>
      </c>
      <c r="D28" s="134"/>
      <c r="F28" s="98"/>
      <c r="G28" s="98"/>
      <c r="H28" s="98"/>
      <c r="I28" s="98"/>
    </row>
    <row r="29" ht="15.75" customHeight="1">
      <c r="A29" s="133">
        <v>26.0</v>
      </c>
      <c r="B29" s="147" t="s">
        <v>620</v>
      </c>
      <c r="C29" s="98">
        <v>3100.0</v>
      </c>
      <c r="D29" s="134"/>
      <c r="F29" s="98"/>
      <c r="G29" s="98"/>
      <c r="H29" s="98"/>
      <c r="I29" s="98"/>
    </row>
    <row r="30" ht="15.75" customHeight="1">
      <c r="A30" s="133">
        <v>27.0</v>
      </c>
      <c r="B30" s="147" t="s">
        <v>238</v>
      </c>
      <c r="C30" s="98">
        <v>3100.0</v>
      </c>
      <c r="D30" s="134"/>
      <c r="F30" s="98"/>
      <c r="G30" s="98"/>
      <c r="H30" s="98"/>
      <c r="I30" s="98"/>
    </row>
    <row r="31" ht="15.75" customHeight="1">
      <c r="A31" s="133">
        <v>28.0</v>
      </c>
      <c r="B31" s="147" t="s">
        <v>191</v>
      </c>
      <c r="C31" s="98">
        <v>3100.0</v>
      </c>
      <c r="D31" s="134"/>
      <c r="F31" s="98"/>
      <c r="G31" s="98"/>
      <c r="H31" s="98"/>
      <c r="I31" s="98"/>
    </row>
    <row r="32" ht="15.75" customHeight="1">
      <c r="A32" s="133">
        <v>29.0</v>
      </c>
      <c r="B32" s="147" t="s">
        <v>566</v>
      </c>
      <c r="C32" s="98">
        <v>3100.0</v>
      </c>
      <c r="D32" s="134"/>
      <c r="F32" s="98"/>
      <c r="G32" s="98"/>
      <c r="H32" s="98"/>
      <c r="I32" s="98"/>
    </row>
    <row r="33" ht="15.75" customHeight="1">
      <c r="A33" s="133">
        <v>30.0</v>
      </c>
      <c r="B33" s="147" t="s">
        <v>430</v>
      </c>
      <c r="C33" s="98">
        <v>3100.0</v>
      </c>
      <c r="D33" s="134"/>
      <c r="F33" s="98"/>
      <c r="G33" s="98"/>
      <c r="H33" s="98"/>
      <c r="I33" s="98"/>
    </row>
    <row r="34" ht="15.75" customHeight="1">
      <c r="A34" s="133">
        <v>31.0</v>
      </c>
      <c r="B34" s="171" t="s">
        <v>422</v>
      </c>
      <c r="C34" s="172">
        <v>2000.0</v>
      </c>
      <c r="D34" s="159"/>
      <c r="F34" s="98"/>
      <c r="G34" s="98"/>
      <c r="H34" s="98"/>
      <c r="I34" s="98"/>
    </row>
    <row r="35" ht="15.75" customHeight="1">
      <c r="A35" s="133">
        <v>32.0</v>
      </c>
      <c r="B35" s="173" t="s">
        <v>394</v>
      </c>
      <c r="C35" s="172">
        <v>2000.0</v>
      </c>
      <c r="D35" s="159"/>
      <c r="F35" s="98"/>
      <c r="G35" s="98"/>
      <c r="H35" s="98"/>
      <c r="I35" s="98"/>
    </row>
    <row r="36" ht="15.75" customHeight="1">
      <c r="A36" s="133">
        <v>33.0</v>
      </c>
      <c r="B36" s="173" t="s">
        <v>259</v>
      </c>
      <c r="C36" s="172">
        <v>2000.0</v>
      </c>
      <c r="D36" s="134"/>
      <c r="F36" s="98"/>
      <c r="G36" s="98"/>
      <c r="H36" s="98"/>
      <c r="I36" s="98"/>
    </row>
    <row r="37" ht="15.75" customHeight="1">
      <c r="A37" s="133">
        <v>34.0</v>
      </c>
      <c r="B37" s="173" t="s">
        <v>338</v>
      </c>
      <c r="C37" s="172">
        <v>2000.0</v>
      </c>
      <c r="D37" s="134"/>
      <c r="F37" s="98"/>
      <c r="G37" s="98"/>
      <c r="H37" s="98"/>
      <c r="I37" s="98"/>
    </row>
    <row r="38" ht="15.75" customHeight="1">
      <c r="A38" s="133">
        <v>35.0</v>
      </c>
      <c r="B38" s="173" t="s">
        <v>534</v>
      </c>
      <c r="C38" s="172">
        <v>2000.0</v>
      </c>
      <c r="D38" s="134"/>
      <c r="F38" s="98"/>
      <c r="G38" s="98"/>
      <c r="H38" s="98"/>
      <c r="I38" s="98"/>
    </row>
    <row r="39" ht="15.75" customHeight="1">
      <c r="A39" s="133"/>
      <c r="B39" s="98"/>
      <c r="C39" s="170"/>
      <c r="D39" s="134"/>
      <c r="F39" s="98"/>
      <c r="G39" s="98"/>
      <c r="H39" s="98"/>
      <c r="I39" s="98"/>
    </row>
    <row r="40" ht="15.75" customHeight="1">
      <c r="A40" s="139"/>
      <c r="B40" s="161" t="s">
        <v>119</v>
      </c>
      <c r="C40" s="174">
        <f>SUM(C4:C39)</f>
        <v>103000</v>
      </c>
      <c r="F40" s="98"/>
      <c r="G40" s="161" t="s">
        <v>119</v>
      </c>
      <c r="H40" s="161">
        <f>SUM(H4:H39)</f>
        <v>101705</v>
      </c>
      <c r="I40" s="98"/>
    </row>
    <row r="41" ht="15.75" customHeight="1">
      <c r="A41" s="139"/>
    </row>
    <row r="42" ht="15.75" customHeight="1">
      <c r="A42" s="139"/>
      <c r="B42" s="54"/>
      <c r="G42" s="130" t="s">
        <v>157</v>
      </c>
      <c r="H42" s="130">
        <f>C40-H40</f>
        <v>1295</v>
      </c>
    </row>
    <row r="43" ht="15.75" customHeight="1">
      <c r="A43" s="139"/>
      <c r="G43" s="131" t="s">
        <v>230</v>
      </c>
      <c r="H43" s="131">
        <v>10000.0</v>
      </c>
    </row>
    <row r="44" ht="15.75" customHeight="1">
      <c r="A44" s="139"/>
      <c r="G44" s="166" t="s">
        <v>621</v>
      </c>
      <c r="H44" s="166">
        <f>SUM(H42:H43)</f>
        <v>11295</v>
      </c>
    </row>
    <row r="45" ht="15.75" customHeight="1">
      <c r="A45" s="139"/>
    </row>
    <row r="46" ht="15.75" customHeight="1">
      <c r="A46" s="139"/>
    </row>
    <row r="47" ht="15.75" customHeight="1">
      <c r="A47" s="139"/>
    </row>
    <row r="48" ht="15.75" customHeight="1">
      <c r="A48" s="139"/>
    </row>
    <row r="49" ht="15.75" customHeight="1">
      <c r="A49" s="139"/>
    </row>
    <row r="50" ht="15.75" customHeight="1">
      <c r="A50" s="139"/>
    </row>
    <row r="51" ht="15.75" customHeight="1">
      <c r="A51" s="139"/>
    </row>
    <row r="52" ht="15.75" customHeight="1">
      <c r="A52" s="139"/>
    </row>
    <row r="53" ht="15.75" customHeight="1">
      <c r="A53" s="139"/>
    </row>
    <row r="54" ht="15.75" customHeight="1">
      <c r="A54" s="139"/>
    </row>
    <row r="55" ht="15.75" customHeight="1">
      <c r="A55" s="139"/>
    </row>
    <row r="56" ht="15.75" customHeight="1">
      <c r="A56" s="139"/>
    </row>
    <row r="57" ht="15.75" customHeight="1">
      <c r="A57" s="139"/>
    </row>
    <row r="58" ht="15.75" customHeight="1">
      <c r="A58" s="139"/>
    </row>
    <row r="59" ht="15.75" customHeight="1">
      <c r="A59" s="139"/>
    </row>
    <row r="60" ht="15.75" customHeight="1">
      <c r="A60" s="139"/>
    </row>
    <row r="61" ht="15.75" customHeight="1">
      <c r="A61" s="139"/>
    </row>
    <row r="62" ht="15.75" customHeight="1">
      <c r="A62" s="139"/>
    </row>
    <row r="63" ht="15.75" customHeight="1">
      <c r="A63" s="139"/>
    </row>
    <row r="64" ht="15.75" customHeight="1">
      <c r="A64" s="139"/>
    </row>
    <row r="65" ht="15.75" customHeight="1">
      <c r="A65" s="139"/>
    </row>
    <row r="66" ht="15.75" customHeight="1">
      <c r="A66" s="139"/>
    </row>
    <row r="67" ht="15.75" customHeight="1">
      <c r="A67" s="139"/>
    </row>
    <row r="68" ht="15.75" customHeight="1">
      <c r="A68" s="139"/>
    </row>
    <row r="69" ht="15.75" customHeight="1">
      <c r="A69" s="139"/>
    </row>
    <row r="70" ht="15.75" customHeight="1">
      <c r="A70" s="139"/>
    </row>
    <row r="71" ht="15.75" customHeight="1">
      <c r="A71" s="139"/>
    </row>
    <row r="72" ht="15.75" customHeight="1">
      <c r="A72" s="139"/>
    </row>
    <row r="73" ht="15.75" customHeight="1">
      <c r="A73" s="139"/>
    </row>
    <row r="74" ht="15.75" customHeight="1">
      <c r="A74" s="139"/>
    </row>
    <row r="75" ht="15.75" customHeight="1">
      <c r="A75" s="139"/>
    </row>
    <row r="76" ht="15.75" customHeight="1">
      <c r="A76" s="139"/>
    </row>
    <row r="77" ht="15.75" customHeight="1">
      <c r="A77" s="139"/>
    </row>
    <row r="78" ht="15.75" customHeight="1">
      <c r="A78" s="139"/>
    </row>
    <row r="79" ht="15.75" customHeight="1">
      <c r="A79" s="139"/>
    </row>
    <row r="80" ht="15.75" customHeight="1">
      <c r="A80" s="139"/>
    </row>
    <row r="81" ht="15.75" customHeight="1">
      <c r="A81" s="139"/>
    </row>
    <row r="82" ht="15.75" customHeight="1">
      <c r="A82" s="139"/>
    </row>
    <row r="83" ht="15.75" customHeight="1">
      <c r="A83" s="139"/>
    </row>
    <row r="84" ht="15.75" customHeight="1">
      <c r="A84" s="139"/>
    </row>
    <row r="85" ht="15.75" customHeight="1">
      <c r="A85" s="139"/>
    </row>
    <row r="86" ht="15.75" customHeight="1">
      <c r="A86" s="139"/>
    </row>
    <row r="87" ht="15.75" customHeight="1">
      <c r="A87" s="139"/>
    </row>
    <row r="88" ht="15.75" customHeight="1">
      <c r="A88" s="139"/>
    </row>
    <row r="89" ht="15.75" customHeight="1">
      <c r="A89" s="139"/>
    </row>
    <row r="90" ht="15.75" customHeight="1">
      <c r="A90" s="139"/>
    </row>
    <row r="91" ht="15.75" customHeight="1">
      <c r="A91" s="139"/>
    </row>
    <row r="92" ht="15.75" customHeight="1">
      <c r="A92" s="139"/>
    </row>
    <row r="93" ht="15.75" customHeight="1">
      <c r="A93" s="139"/>
    </row>
    <row r="94" ht="15.75" customHeight="1">
      <c r="A94" s="139"/>
    </row>
    <row r="95" ht="15.75" customHeight="1">
      <c r="A95" s="139"/>
    </row>
    <row r="96" ht="15.75" customHeight="1">
      <c r="A96" s="139"/>
    </row>
    <row r="97" ht="15.75" customHeight="1">
      <c r="A97" s="139"/>
    </row>
    <row r="98" ht="15.75" customHeight="1">
      <c r="A98" s="139"/>
    </row>
    <row r="99" ht="15.75" customHeight="1">
      <c r="A99" s="139"/>
    </row>
    <row r="100" ht="15.75" customHeight="1">
      <c r="A100" s="139"/>
    </row>
    <row r="101" ht="15.75" customHeight="1">
      <c r="A101" s="139"/>
    </row>
    <row r="102" ht="15.75" customHeight="1">
      <c r="A102" s="139"/>
    </row>
    <row r="103" ht="15.75" customHeight="1">
      <c r="A103" s="139"/>
    </row>
    <row r="104" ht="15.75" customHeight="1">
      <c r="A104" s="139"/>
    </row>
    <row r="105" ht="15.75" customHeight="1">
      <c r="A105" s="139"/>
    </row>
    <row r="106" ht="15.75" customHeight="1">
      <c r="A106" s="139"/>
    </row>
    <row r="107" ht="15.75" customHeight="1">
      <c r="A107" s="139"/>
    </row>
    <row r="108" ht="15.75" customHeight="1">
      <c r="A108" s="139"/>
    </row>
    <row r="109" ht="15.75" customHeight="1">
      <c r="A109" s="139"/>
    </row>
    <row r="110" ht="15.75" customHeight="1">
      <c r="A110" s="139"/>
    </row>
    <row r="111" ht="15.75" customHeight="1">
      <c r="A111" s="139"/>
    </row>
    <row r="112" ht="15.75" customHeight="1">
      <c r="A112" s="139"/>
    </row>
    <row r="113" ht="15.75" customHeight="1">
      <c r="A113" s="139"/>
    </row>
    <row r="114" ht="15.75" customHeight="1">
      <c r="A114" s="139"/>
    </row>
    <row r="115" ht="15.75" customHeight="1">
      <c r="A115" s="139"/>
    </row>
    <row r="116" ht="15.75" customHeight="1">
      <c r="A116" s="139"/>
    </row>
    <row r="117" ht="15.75" customHeight="1">
      <c r="A117" s="139"/>
    </row>
    <row r="118" ht="15.75" customHeight="1">
      <c r="A118" s="139"/>
    </row>
    <row r="119" ht="15.75" customHeight="1">
      <c r="A119" s="139"/>
    </row>
    <row r="120" ht="15.75" customHeight="1">
      <c r="A120" s="139"/>
    </row>
    <row r="121" ht="15.75" customHeight="1">
      <c r="A121" s="139"/>
    </row>
    <row r="122" ht="15.75" customHeight="1">
      <c r="A122" s="139"/>
    </row>
    <row r="123" ht="15.75" customHeight="1">
      <c r="A123" s="139"/>
    </row>
    <row r="124" ht="15.75" customHeight="1">
      <c r="A124" s="139"/>
    </row>
    <row r="125" ht="15.75" customHeight="1">
      <c r="A125" s="139"/>
    </row>
    <row r="126" ht="15.75" customHeight="1">
      <c r="A126" s="139"/>
    </row>
    <row r="127" ht="15.75" customHeight="1">
      <c r="A127" s="139"/>
    </row>
    <row r="128" ht="15.75" customHeight="1">
      <c r="A128" s="139"/>
    </row>
    <row r="129" ht="15.75" customHeight="1">
      <c r="A129" s="139"/>
    </row>
    <row r="130" ht="15.75" customHeight="1">
      <c r="A130" s="139"/>
    </row>
    <row r="131" ht="15.75" customHeight="1">
      <c r="A131" s="139"/>
    </row>
    <row r="132" ht="15.75" customHeight="1">
      <c r="A132" s="139"/>
    </row>
    <row r="133" ht="15.75" customHeight="1">
      <c r="A133" s="139"/>
    </row>
    <row r="134" ht="15.75" customHeight="1">
      <c r="A134" s="139"/>
    </row>
    <row r="135" ht="15.75" customHeight="1">
      <c r="A135" s="139"/>
    </row>
    <row r="136" ht="15.75" customHeight="1">
      <c r="A136" s="139"/>
    </row>
    <row r="137" ht="15.75" customHeight="1">
      <c r="A137" s="139"/>
    </row>
    <row r="138" ht="15.75" customHeight="1">
      <c r="A138" s="139"/>
    </row>
    <row r="139" ht="15.75" customHeight="1">
      <c r="A139" s="139"/>
    </row>
    <row r="140" ht="15.75" customHeight="1">
      <c r="A140" s="139"/>
    </row>
    <row r="141" ht="15.75" customHeight="1">
      <c r="A141" s="139"/>
    </row>
    <row r="142" ht="15.75" customHeight="1">
      <c r="A142" s="139"/>
    </row>
    <row r="143" ht="15.75" customHeight="1">
      <c r="A143" s="139"/>
    </row>
    <row r="144" ht="15.75" customHeight="1">
      <c r="A144" s="139"/>
    </row>
    <row r="145" ht="15.75" customHeight="1">
      <c r="A145" s="139"/>
    </row>
    <row r="146" ht="15.75" customHeight="1">
      <c r="A146" s="139"/>
    </row>
    <row r="147" ht="15.75" customHeight="1">
      <c r="A147" s="139"/>
    </row>
    <row r="148" ht="15.75" customHeight="1">
      <c r="A148" s="139"/>
    </row>
    <row r="149" ht="15.75" customHeight="1">
      <c r="A149" s="139"/>
    </row>
    <row r="150" ht="15.75" customHeight="1">
      <c r="A150" s="139"/>
    </row>
    <row r="151" ht="15.75" customHeight="1">
      <c r="A151" s="139"/>
    </row>
    <row r="152" ht="15.75" customHeight="1">
      <c r="A152" s="139"/>
    </row>
    <row r="153" ht="15.75" customHeight="1">
      <c r="A153" s="139"/>
    </row>
    <row r="154" ht="15.75" customHeight="1">
      <c r="A154" s="139"/>
    </row>
    <row r="155" ht="15.75" customHeight="1">
      <c r="A155" s="139"/>
    </row>
    <row r="156" ht="15.75" customHeight="1">
      <c r="A156" s="139"/>
    </row>
    <row r="157" ht="15.75" customHeight="1">
      <c r="A157" s="139"/>
    </row>
    <row r="158" ht="15.75" customHeight="1">
      <c r="A158" s="139"/>
    </row>
    <row r="159" ht="15.75" customHeight="1">
      <c r="A159" s="139"/>
    </row>
    <row r="160" ht="15.75" customHeight="1">
      <c r="A160" s="139"/>
    </row>
    <row r="161" ht="15.75" customHeight="1">
      <c r="A161" s="139"/>
    </row>
    <row r="162" ht="15.75" customHeight="1">
      <c r="A162" s="139"/>
    </row>
    <row r="163" ht="15.75" customHeight="1">
      <c r="A163" s="139"/>
    </row>
    <row r="164" ht="15.75" customHeight="1">
      <c r="A164" s="139"/>
    </row>
    <row r="165" ht="15.75" customHeight="1">
      <c r="A165" s="139"/>
    </row>
    <row r="166" ht="15.75" customHeight="1">
      <c r="A166" s="139"/>
    </row>
    <row r="167" ht="15.75" customHeight="1">
      <c r="A167" s="139"/>
    </row>
    <row r="168" ht="15.75" customHeight="1">
      <c r="A168" s="139"/>
    </row>
    <row r="169" ht="15.75" customHeight="1">
      <c r="A169" s="139"/>
    </row>
    <row r="170" ht="15.75" customHeight="1">
      <c r="A170" s="139"/>
    </row>
    <row r="171" ht="15.75" customHeight="1">
      <c r="A171" s="139"/>
    </row>
    <row r="172" ht="15.75" customHeight="1">
      <c r="A172" s="139"/>
    </row>
    <row r="173" ht="15.75" customHeight="1">
      <c r="A173" s="139"/>
    </row>
    <row r="174" ht="15.75" customHeight="1">
      <c r="A174" s="139"/>
    </row>
    <row r="175" ht="15.75" customHeight="1">
      <c r="A175" s="139"/>
    </row>
    <row r="176" ht="15.75" customHeight="1">
      <c r="A176" s="139"/>
    </row>
    <row r="177" ht="15.75" customHeight="1">
      <c r="A177" s="139"/>
    </row>
    <row r="178" ht="15.75" customHeight="1">
      <c r="A178" s="139"/>
    </row>
    <row r="179" ht="15.75" customHeight="1">
      <c r="A179" s="139"/>
    </row>
    <row r="180" ht="15.75" customHeight="1">
      <c r="A180" s="139"/>
    </row>
    <row r="181" ht="15.75" customHeight="1">
      <c r="A181" s="139"/>
    </row>
    <row r="182" ht="15.75" customHeight="1">
      <c r="A182" s="139"/>
    </row>
    <row r="183" ht="15.75" customHeight="1">
      <c r="A183" s="139"/>
    </row>
    <row r="184" ht="15.75" customHeight="1">
      <c r="A184" s="139"/>
    </row>
    <row r="185" ht="15.75" customHeight="1">
      <c r="A185" s="139"/>
    </row>
    <row r="186" ht="15.75" customHeight="1">
      <c r="A186" s="139"/>
    </row>
    <row r="187" ht="15.75" customHeight="1">
      <c r="A187" s="139"/>
    </row>
    <row r="188" ht="15.75" customHeight="1">
      <c r="A188" s="139"/>
    </row>
    <row r="189" ht="15.75" customHeight="1">
      <c r="A189" s="139"/>
    </row>
    <row r="190" ht="15.75" customHeight="1">
      <c r="A190" s="139"/>
    </row>
    <row r="191" ht="15.75" customHeight="1">
      <c r="A191" s="139"/>
    </row>
    <row r="192" ht="15.75" customHeight="1">
      <c r="A192" s="139"/>
    </row>
    <row r="193" ht="15.75" customHeight="1">
      <c r="A193" s="139"/>
    </row>
    <row r="194" ht="15.75" customHeight="1">
      <c r="A194" s="139"/>
    </row>
    <row r="195" ht="15.75" customHeight="1">
      <c r="A195" s="139"/>
    </row>
    <row r="196" ht="15.75" customHeight="1">
      <c r="A196" s="139"/>
    </row>
    <row r="197" ht="15.75" customHeight="1">
      <c r="A197" s="139"/>
    </row>
    <row r="198" ht="15.75" customHeight="1">
      <c r="A198" s="139"/>
    </row>
    <row r="199" ht="15.75" customHeight="1">
      <c r="A199" s="139"/>
    </row>
    <row r="200" ht="15.75" customHeight="1">
      <c r="A200" s="139"/>
    </row>
    <row r="201" ht="15.75" customHeight="1">
      <c r="A201" s="139"/>
    </row>
    <row r="202" ht="15.75" customHeight="1">
      <c r="A202" s="139"/>
    </row>
    <row r="203" ht="15.75" customHeight="1">
      <c r="A203" s="139"/>
    </row>
    <row r="204" ht="15.75" customHeight="1">
      <c r="A204" s="139"/>
    </row>
    <row r="205" ht="15.75" customHeight="1">
      <c r="A205" s="139"/>
    </row>
    <row r="206" ht="15.75" customHeight="1">
      <c r="A206" s="139"/>
    </row>
    <row r="207" ht="15.75" customHeight="1">
      <c r="A207" s="139"/>
    </row>
    <row r="208" ht="15.75" customHeight="1">
      <c r="A208" s="139"/>
    </row>
    <row r="209" ht="15.75" customHeight="1">
      <c r="A209" s="139"/>
    </row>
    <row r="210" ht="15.75" customHeight="1">
      <c r="A210" s="139"/>
    </row>
    <row r="211" ht="15.75" customHeight="1">
      <c r="A211" s="139"/>
    </row>
    <row r="212" ht="15.75" customHeight="1">
      <c r="A212" s="139"/>
    </row>
    <row r="213" ht="15.75" customHeight="1">
      <c r="A213" s="139"/>
    </row>
    <row r="214" ht="15.75" customHeight="1">
      <c r="A214" s="139"/>
    </row>
    <row r="215" ht="15.75" customHeight="1">
      <c r="A215" s="139"/>
    </row>
    <row r="216" ht="15.75" customHeight="1">
      <c r="A216" s="139"/>
    </row>
    <row r="217" ht="15.75" customHeight="1">
      <c r="A217" s="139"/>
    </row>
    <row r="218" ht="15.75" customHeight="1">
      <c r="A218" s="139"/>
    </row>
    <row r="219" ht="15.75" customHeight="1">
      <c r="A219" s="139"/>
    </row>
    <row r="220" ht="15.75" customHeight="1">
      <c r="A220" s="139"/>
    </row>
    <row r="221" ht="15.75" customHeight="1">
      <c r="A221" s="139"/>
    </row>
    <row r="222" ht="15.75" customHeight="1">
      <c r="A222" s="139"/>
    </row>
    <row r="223" ht="15.75" customHeight="1">
      <c r="A223" s="139"/>
    </row>
    <row r="224" ht="15.75" customHeight="1">
      <c r="A224" s="139"/>
    </row>
    <row r="225" ht="15.75" customHeight="1">
      <c r="A225" s="139"/>
    </row>
    <row r="226" ht="15.75" customHeight="1">
      <c r="A226" s="139"/>
    </row>
    <row r="227" ht="15.75" customHeight="1">
      <c r="A227" s="139"/>
    </row>
    <row r="228" ht="15.75" customHeight="1">
      <c r="A228" s="139"/>
    </row>
    <row r="229" ht="15.75" customHeight="1">
      <c r="A229" s="139"/>
    </row>
    <row r="230" ht="15.75" customHeight="1">
      <c r="A230" s="139"/>
    </row>
    <row r="231" ht="15.75" customHeight="1">
      <c r="A231" s="139"/>
    </row>
    <row r="232" ht="15.75" customHeight="1">
      <c r="A232" s="139"/>
    </row>
    <row r="233" ht="15.75" customHeight="1">
      <c r="A233" s="139"/>
    </row>
    <row r="234" ht="15.75" customHeight="1">
      <c r="A234" s="139"/>
    </row>
    <row r="235" ht="15.75" customHeight="1">
      <c r="A235" s="139"/>
    </row>
    <row r="236" ht="15.75" customHeight="1">
      <c r="A236" s="139"/>
    </row>
    <row r="237" ht="15.75" customHeight="1">
      <c r="A237" s="139"/>
    </row>
    <row r="238" ht="15.75" customHeight="1">
      <c r="A238" s="139"/>
    </row>
    <row r="239" ht="15.75" customHeight="1">
      <c r="A239" s="139"/>
    </row>
    <row r="240" ht="15.75" customHeight="1">
      <c r="A240" s="139"/>
    </row>
    <row r="241" ht="15.75" customHeight="1">
      <c r="A241" s="139"/>
    </row>
    <row r="242" ht="15.75" customHeight="1">
      <c r="A242" s="139"/>
    </row>
    <row r="243" ht="15.75" customHeight="1">
      <c r="A243" s="139"/>
    </row>
    <row r="244" ht="15.75" customHeight="1">
      <c r="A244" s="139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D2"/>
    <mergeCell ref="F2:I2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
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py of Sheet1" sheetId="2" r:id="rId6"/>
  </sheets>
  <definedNames/>
  <calcPr/>
</workbook>
</file>

<file path=xl/sharedStrings.xml><?xml version="1.0" encoding="utf-8"?>
<sst xmlns="http://schemas.openxmlformats.org/spreadsheetml/2006/main" count="757" uniqueCount="576">
  <si>
    <t>#</t>
  </si>
  <si>
    <t>Rider Name</t>
  </si>
  <si>
    <t>Rider Data</t>
  </si>
  <si>
    <t>#001</t>
  </si>
  <si>
    <t>#002</t>
  </si>
  <si>
    <t>#003</t>
  </si>
  <si>
    <t>#004</t>
  </si>
  <si>
    <t>#005</t>
  </si>
  <si>
    <t>#006</t>
  </si>
  <si>
    <t>#007</t>
  </si>
  <si>
    <t>#008</t>
  </si>
  <si>
    <t>#009</t>
  </si>
  <si>
    <t>#010</t>
  </si>
  <si>
    <t>#011</t>
  </si>
  <si>
    <t>#012</t>
  </si>
  <si>
    <t>#013</t>
  </si>
  <si>
    <t>#014</t>
  </si>
  <si>
    <t>#015</t>
  </si>
  <si>
    <t>#016</t>
  </si>
  <si>
    <t>#017</t>
  </si>
  <si>
    <t>#018</t>
  </si>
  <si>
    <t>#019</t>
  </si>
  <si>
    <t>#020</t>
  </si>
  <si>
    <t>#021</t>
  </si>
  <si>
    <t>#022</t>
  </si>
  <si>
    <t>#023</t>
  </si>
  <si>
    <t>#024</t>
  </si>
  <si>
    <t>#025</t>
  </si>
  <si>
    <t>#026</t>
  </si>
  <si>
    <t>#027</t>
  </si>
  <si>
    <t>#028</t>
  </si>
  <si>
    <t>Total Points in last 1 year</t>
  </si>
  <si>
    <t>Ride %</t>
  </si>
  <si>
    <t>Total Rides Done</t>
  </si>
  <si>
    <t>Address</t>
  </si>
  <si>
    <t>Email id</t>
  </si>
  <si>
    <t>Phone Number</t>
  </si>
  <si>
    <t>Emergency Conntact</t>
  </si>
  <si>
    <t>Emergency  Phone</t>
  </si>
  <si>
    <t>&gt; 75%</t>
  </si>
  <si>
    <t>Roshan Manuel</t>
  </si>
  <si>
    <t xml:space="preserve">B504, Aravind Sporcia, Rachenahalli, Bangalore </t>
  </si>
  <si>
    <t>roshan.manuel@gmail.com</t>
  </si>
  <si>
    <t>Leticiya - Mom</t>
  </si>
  <si>
    <t>Surendar P Velu</t>
  </si>
  <si>
    <t>64, Lakeshore Homes, Kasavanahalli, Bangalore - 560035</t>
  </si>
  <si>
    <t>surenpv@gmail.com</t>
  </si>
  <si>
    <t>Rashma, Spouse</t>
  </si>
  <si>
    <t>Sanjeev Kumar</t>
  </si>
  <si>
    <t xml:space="preserve">F201, Pariwar Pearl Apartment, 60 Feet Road, Anugraha Layout, Bilekahalli, Bengaluru 560076 </t>
  </si>
  <si>
    <t>san.nh007@gmail.com</t>
  </si>
  <si>
    <t>Veena Kulkarni - Wife</t>
  </si>
  <si>
    <t>Thirumalai</t>
  </si>
  <si>
    <t xml:space="preserve">No.198,S2, Nandanam, club avenue road, LRDE Layout, Karthik Nagar, marathahalli </t>
  </si>
  <si>
    <t>mthiru.3383@gmail.com</t>
  </si>
  <si>
    <t xml:space="preserve">Venkat- friend </t>
  </si>
  <si>
    <t>Sandeep Sahoo</t>
  </si>
  <si>
    <t>G.M. infinite eCity town, electronic city</t>
  </si>
  <si>
    <t>sandeepsahoo1124@gmail.com</t>
  </si>
  <si>
    <t>Bhanu</t>
  </si>
  <si>
    <t>Points To Qualify</t>
  </si>
  <si>
    <t>Shreyas BM</t>
  </si>
  <si>
    <t>61, 3rd A main, 9th B cross, ISRO LAYOUT, Bangalore 560078</t>
  </si>
  <si>
    <t>shreyasbm77@gmail.com</t>
  </si>
  <si>
    <t>Soumya - Sister</t>
  </si>
  <si>
    <t>Long Ride</t>
  </si>
  <si>
    <t>Sukesh TM</t>
  </si>
  <si>
    <t>#31, 2nd Cross, HBR Telecom Layout, 5th Block, Blr</t>
  </si>
  <si>
    <t>suki.sukax@gmail.com</t>
  </si>
  <si>
    <t>Manjula Sukesh - Spouse</t>
  </si>
  <si>
    <t>Ride</t>
  </si>
  <si>
    <t>Manjushree</t>
  </si>
  <si>
    <t xml:space="preserve">GM infinite ecity town phase 1, ecity </t>
  </si>
  <si>
    <t>manjushree.dixith@gmail.com</t>
  </si>
  <si>
    <t xml:space="preserve">Sandeep-husband </t>
  </si>
  <si>
    <r>
      <rPr>
        <rFont val="Arial, sans-serif"/>
        <color rgb="FF00B0F0"/>
      </rPr>
      <t>-</t>
    </r>
    <r>
      <rPr>
        <rFont val="Arial, sans-serif"/>
        <color rgb="FF000000"/>
      </rPr>
      <t xml:space="preserve"> + 2.5</t>
    </r>
  </si>
  <si>
    <t>Ride Organiser</t>
  </si>
  <si>
    <t>Sharon Padmanabhan</t>
  </si>
  <si>
    <t>408, KRS Endeavour Apartments, RR Nagar, Kenchenahalli, Mysore Road, Near Arvind Garments, Bengaluru, Karnataka, India - 560098</t>
  </si>
  <si>
    <t>sharonpadmanabhan@gmail.com</t>
  </si>
  <si>
    <r>
      <rPr>
        <rFont val="Arial, sans-serif"/>
        <color rgb="FF4EA72E"/>
      </rPr>
      <t>-</t>
    </r>
    <r>
      <rPr>
        <rFont val="Arial, sans-serif"/>
        <color rgb="FF000000"/>
      </rPr>
      <t xml:space="preserve"> + 2.5</t>
    </r>
  </si>
  <si>
    <t>Sweep</t>
  </si>
  <si>
    <t>Sapna Maria</t>
  </si>
  <si>
    <t>B504 Arvind Sporcia</t>
  </si>
  <si>
    <t>sapnamaria.v07@gmail.com</t>
  </si>
  <si>
    <t>Roshan</t>
  </si>
  <si>
    <t>Abhijitt Murugan</t>
  </si>
  <si>
    <t>#67 Vinayaka Layout 2nd stage 1st cross hebbal kempapura Bangalore 560024</t>
  </si>
  <si>
    <t>abhijith.murugan@gmail.com</t>
  </si>
  <si>
    <t>Rekha - Murugan</t>
  </si>
  <si>
    <t>Current Active Member</t>
  </si>
  <si>
    <t>Rajnish Jaiswal</t>
  </si>
  <si>
    <t>#1393, 11th cross, 21st Main, Sector 1, HSR layout, Bangalore - 560102</t>
  </si>
  <si>
    <t>rajnish1393@gmail.com</t>
  </si>
  <si>
    <t xml:space="preserve">Shalini - Spouse </t>
  </si>
  <si>
    <t>Old Active Member</t>
  </si>
  <si>
    <t>Adith Kumar</t>
  </si>
  <si>
    <t>1013, Oak Block , Sobha forest View Apartment, 100 Feet Road, Off Kanakapura Road, Vajarahalli, Bangalore South, Bengaluru, Karnataka, 560062</t>
  </si>
  <si>
    <t>adithuday149@gmail.com</t>
  </si>
  <si>
    <t>Subhadra Uday - Mother</t>
  </si>
  <si>
    <t>Binoy George</t>
  </si>
  <si>
    <t xml:space="preserve">A1104 Brigade Metropolis Mahadevapura Post, Whitefield Main Road, Bangalore 560048 </t>
  </si>
  <si>
    <t>binoyjorg@gmail.com</t>
  </si>
  <si>
    <t>Deepa / Spouse</t>
  </si>
  <si>
    <t>PRASHANTH B K</t>
  </si>
  <si>
    <t>459,8th main,4th block,koramangala,Bangalore-34</t>
  </si>
  <si>
    <t>prash.kamalesh@gmail.com</t>
  </si>
  <si>
    <t>Rashmi Spouse</t>
  </si>
  <si>
    <t>Sangeeta Tiwari</t>
  </si>
  <si>
    <t>F-704, tower 2, adarsh palm retreat, bellandur</t>
  </si>
  <si>
    <t>sangeeta9483@gmail.com</t>
  </si>
  <si>
    <t>Jyoti, sister</t>
  </si>
  <si>
    <t>Pranav Himanshu</t>
  </si>
  <si>
    <t>402, Gangothri Residency, GM Palya, Bangalore</t>
  </si>
  <si>
    <t>pranav.himanshu7@gmail.com</t>
  </si>
  <si>
    <t>Sangeeta</t>
  </si>
  <si>
    <t>+919943131625</t>
  </si>
  <si>
    <t>Shankar VK</t>
  </si>
  <si>
    <t xml:space="preserve">90,1main,2,cross,Ramann garden near Mitra apartment vidyranyapura Bangalore </t>
  </si>
  <si>
    <t>kumarshankar2756@gmail.com</t>
  </si>
  <si>
    <t>Varshita SK  7760593888</t>
  </si>
  <si>
    <t>Arjun S</t>
  </si>
  <si>
    <t>304 D Block Elegant Altima Gubbalala Bengaluru</t>
  </si>
  <si>
    <t>arjsree123@gmail.com</t>
  </si>
  <si>
    <t>Smitha B R(spouse)</t>
  </si>
  <si>
    <t>Jay Trivedi</t>
  </si>
  <si>
    <t>34, 11th cross, Rajajinagar 1st block</t>
  </si>
  <si>
    <t>jaytrivedi.b@gmail.com</t>
  </si>
  <si>
    <t>Shruthi, spouse</t>
  </si>
  <si>
    <t>Harish Mysuru</t>
  </si>
  <si>
    <t>C 403 C Block Solitaire Residency Hennur main road</t>
  </si>
  <si>
    <t>harishkumarmr27@gmail.com</t>
  </si>
  <si>
    <t>Smita / Spouse</t>
  </si>
  <si>
    <t>Sandeep Mathi</t>
  </si>
  <si>
    <t>39/8 kadiran palya, indiranagar, Bangalore 38</t>
  </si>
  <si>
    <t>sandeepdsi42@gmail.com</t>
  </si>
  <si>
    <t>Mathi - Father</t>
  </si>
  <si>
    <t>Anantha Nag M S</t>
  </si>
  <si>
    <t>#33/1 F3 First Floor, Sri Lakshmi Venkateshwara Nilaya, 7th Main 21st Cross, 2nd Stage BTM Layout, N S Palya, Bangalore - 560076</t>
  </si>
  <si>
    <t>ananth.gaikwad@gmail.com</t>
  </si>
  <si>
    <t>Chaitra a gaikwad</t>
  </si>
  <si>
    <t>Harish C S</t>
  </si>
  <si>
    <t>Chowdasandra, mellur PO, SIDLAGHATTA, CHIKKABALLAPURA: 562102</t>
  </si>
  <si>
    <t>harish.5005@gmail.com</t>
  </si>
  <si>
    <t xml:space="preserve">Chetan - Brother </t>
  </si>
  <si>
    <t>Devaraju S</t>
  </si>
  <si>
    <t xml:space="preserve">Flat no. 102, Srinidhi Aashritha Apartment, 1st floor, Shree Renuka Yellamma temple road Amruthahalli Bengaluru 560092 </t>
  </si>
  <si>
    <t>devamoonboy@gmail.com</t>
  </si>
  <si>
    <t xml:space="preserve">Sarswathi </t>
  </si>
  <si>
    <t>Dharniraj Sathyanarayana</t>
  </si>
  <si>
    <t>Rohan Avriti E-504,4th cross Road ,ITPL road, Kaveri Nagar, Garudarchapallya, Bangalore  560048</t>
  </si>
  <si>
    <t>dharnirajsatyanarayana@gmail.com</t>
  </si>
  <si>
    <t>Sudha Dharniraj  , Wife</t>
  </si>
  <si>
    <t>Dr. Raghunath H</t>
  </si>
  <si>
    <t>495/A 15th main 3rd Stage 1st Block Basaveshwaranagar Bengaluru 560079</t>
  </si>
  <si>
    <t>voyagerlifey2k@gmail.com</t>
  </si>
  <si>
    <t xml:space="preserve">Usharani- Spouse </t>
  </si>
  <si>
    <t>Satish Anchi</t>
  </si>
  <si>
    <t>#17, Gokulam, 1st Cross, Nagaragiri Township, Off Hennur Main Road, Bileshivale,</t>
  </si>
  <si>
    <t>satish.anch@gmail.com</t>
  </si>
  <si>
    <t xml:space="preserve">Ramesh J and Friend </t>
  </si>
  <si>
    <t>Gayathri Balaji</t>
  </si>
  <si>
    <t xml:space="preserve">No. 30, 1st cross, 3rd main, Royal County Layout, Parappana Agrahara Bengaluru </t>
  </si>
  <si>
    <t>g3.balaji@gmail.com</t>
  </si>
  <si>
    <t xml:space="preserve">Balaji - husband </t>
  </si>
  <si>
    <t>Abhishek Sen</t>
  </si>
  <si>
    <t>House #3, Muneshwar Nilaya,  1st cross, Hagadur Main Road, Whitefield 560066</t>
  </si>
  <si>
    <t>st.godless@gmail.com</t>
  </si>
  <si>
    <t>Soumik - cousin</t>
  </si>
  <si>
    <t>+919886217226</t>
  </si>
  <si>
    <t>Manjunatha</t>
  </si>
  <si>
    <t>No10 2nd cross telecom layout hbr 5th block</t>
  </si>
  <si>
    <t>manjunath.ncse@gmail.com</t>
  </si>
  <si>
    <t>Ramakashi T S</t>
  </si>
  <si>
    <t xml:space="preserve">216, 5th Main Road, Canara Bank Layout, vidyaranyapura post, Bangalore 560 097 </t>
  </si>
  <si>
    <t>ramakashi.t.s@gmail.com</t>
  </si>
  <si>
    <t xml:space="preserve">Shivashankara P </t>
  </si>
  <si>
    <t>Umakanth</t>
  </si>
  <si>
    <t xml:space="preserve">347, 8th A main, Classic Paradise Layout </t>
  </si>
  <si>
    <t>j.umakanth@gmail.com</t>
  </si>
  <si>
    <t xml:space="preserve">Prathima spouse </t>
  </si>
  <si>
    <t>Nagarjun</t>
  </si>
  <si>
    <t xml:space="preserve">Srinivasam, Behind Rama Mandira, NR Extension, Chintamani </t>
  </si>
  <si>
    <t>arjunafw@gmail.com</t>
  </si>
  <si>
    <t xml:space="preserve">Mahathi </t>
  </si>
  <si>
    <t>Vishwanath P</t>
  </si>
  <si>
    <t>Bldg 8 sekar illam, 3rd cross Kuvempu Nagar Vijinapura 560016</t>
  </si>
  <si>
    <t>vishwanathpucha@gmail.com</t>
  </si>
  <si>
    <t>Dillamma - Mother</t>
  </si>
  <si>
    <t>Imran</t>
  </si>
  <si>
    <t>Bangalore</t>
  </si>
  <si>
    <t>imranbulletworks@gmail.com</t>
  </si>
  <si>
    <t xml:space="preserve">Muzamil </t>
  </si>
  <si>
    <t>Aditya ZUTSHI</t>
  </si>
  <si>
    <t xml:space="preserve">6014, Santorini, Sobha City, Bangalore </t>
  </si>
  <si>
    <t>zutshi1979@gmail.com</t>
  </si>
  <si>
    <t>Sangeeta ZUTSHI ( mother)</t>
  </si>
  <si>
    <t>Kiran Kumar</t>
  </si>
  <si>
    <t xml:space="preserve">Samriddhi, Dodballapur </t>
  </si>
  <si>
    <t>mypalkiran@gmail.com</t>
  </si>
  <si>
    <t>Mother</t>
  </si>
  <si>
    <t>Vinod Kiran Kare</t>
  </si>
  <si>
    <t xml:space="preserve">E1805, Shriram Greenfield, Bammenahalli Village, Near Budigere cross, Bengaluru </t>
  </si>
  <si>
    <t>vinodkiran360@gmail.com</t>
  </si>
  <si>
    <t xml:space="preserve">Uma Shankar K, Mother </t>
  </si>
  <si>
    <t>Naveen Kumar S</t>
  </si>
  <si>
    <t>#349 sri sai raghavendra nilaya 2nd cross ct bed road bsk 2nd stage Bangalore 70</t>
  </si>
  <si>
    <t>nk8711862039@gmail.com</t>
  </si>
  <si>
    <t xml:space="preserve">Sanjay my brother </t>
  </si>
  <si>
    <t>Krishnaprasad Gaonkar</t>
  </si>
  <si>
    <t xml:space="preserve">1005/17 suncity apartment Sarjapur Outer ring road Ibbaluru Bengaluru </t>
  </si>
  <si>
    <t>gaonkar@email.com</t>
  </si>
  <si>
    <t>Tripti gaonkar</t>
  </si>
  <si>
    <t>Karthik JP</t>
  </si>
  <si>
    <t xml:space="preserve">E2, krystal campus 10, Yamare village, Bangalore </t>
  </si>
  <si>
    <t>karthi.jp@gmail.com</t>
  </si>
  <si>
    <t>Sangeetha- Wife</t>
  </si>
  <si>
    <t>Saswata Mohanty</t>
  </si>
  <si>
    <t>SMR Devmuk, No. 102, 9th Main Road, Vijayabank Layout, Bilekahalli, Bangalore-560076</t>
  </si>
  <si>
    <t>saswata.mohanty@gmail.com</t>
  </si>
  <si>
    <t>Pragyanshree</t>
  </si>
  <si>
    <t>Vasudev B S</t>
  </si>
  <si>
    <t>369/69/1, 10th A Cross, Rajajinagar 1st Block, Bengaluru 560010, Karnataka, India, Asia, Earth, Milky way Galaxy,  Virgo Super cluster.</t>
  </si>
  <si>
    <t>vasoo33@gmail.com</t>
  </si>
  <si>
    <t>Brahmanandan K</t>
  </si>
  <si>
    <t>B1710, Brigade Buena vista, Bommenahalli, Biderahalli Hobli, Bengalore - 560049</t>
  </si>
  <si>
    <t>brahmanandan@gmail.com</t>
  </si>
  <si>
    <t>Latha Maheswari S</t>
  </si>
  <si>
    <t>SANJAY SONU</t>
  </si>
  <si>
    <t xml:space="preserve">#49, 2nd main, 7th Cross, N.R.Colony Banglore 19 </t>
  </si>
  <si>
    <t>sanjaysonu12@gmail.com</t>
  </si>
  <si>
    <t xml:space="preserve">CHANDRIKA ( mother ) </t>
  </si>
  <si>
    <t>Umar Faruque</t>
  </si>
  <si>
    <t>#G13, Kristal Agate and Jasper Society, Kasavanahalli Bangalore, 560035</t>
  </si>
  <si>
    <t>ufaruque7@gmail.com</t>
  </si>
  <si>
    <t xml:space="preserve">Ritu, girlfriend </t>
  </si>
  <si>
    <t>Honnesh P</t>
  </si>
  <si>
    <t>2nd main, Anjani extension, Chintamani</t>
  </si>
  <si>
    <t>honneshvishwa96@gmail.com</t>
  </si>
  <si>
    <t>Prabhakar/ Dad</t>
  </si>
  <si>
    <t>Shivam</t>
  </si>
  <si>
    <t>AECS layout, singasandra, Bangalore</t>
  </si>
  <si>
    <t>Honnesh / Friend</t>
  </si>
  <si>
    <t>Mandeep Singh</t>
  </si>
  <si>
    <t xml:space="preserve">B348, GM ecity. Electronic City phase I </t>
  </si>
  <si>
    <t>mandesin@gmail.com</t>
  </si>
  <si>
    <t xml:space="preserve">Satnam - brother </t>
  </si>
  <si>
    <t>Niraj Kanti Samal</t>
  </si>
  <si>
    <t>Flat-13072, Prestige Wellington Park, Jalahalli , Bangalore- 560013</t>
  </si>
  <si>
    <t>niraj.moon@gmail.com</t>
  </si>
  <si>
    <t>Gayatri , Wife</t>
  </si>
  <si>
    <t>Vignesh</t>
  </si>
  <si>
    <t>No. 66,1st Block, 9th Street, Agara Prakruthi Township, Babusapalya, Bengaluru 560043</t>
  </si>
  <si>
    <t>vignesh.jp711@gmail.com</t>
  </si>
  <si>
    <t>Nagamani (mother)</t>
  </si>
  <si>
    <t>Nidhi Dalal</t>
  </si>
  <si>
    <t>#2, G Gangadhar Building, hosahalli main road, H.M.Halli, Yelahanka, Bangalore 562167</t>
  </si>
  <si>
    <t>nid75021@gmail.com</t>
  </si>
  <si>
    <t>Om Vigneshwaran R</t>
  </si>
  <si>
    <t>10/1 (2nd floor), 16th cross mariamman temple street, jai bharath nagar, BENGALURU, KARNATAKA 560033</t>
  </si>
  <si>
    <t>vigneshwaranvishal@gmail.com</t>
  </si>
  <si>
    <t>Ajith (friend)</t>
  </si>
  <si>
    <t>Abhishek S</t>
  </si>
  <si>
    <t>Thranchi veedu, Pangappara, Tvm, Kerala</t>
  </si>
  <si>
    <t>boss.of.95@gmail.com</t>
  </si>
  <si>
    <t>Sreekumar, Father</t>
  </si>
  <si>
    <t>Aren Sukesh</t>
  </si>
  <si>
    <t>G3111,Nokoo2, Bhartiya City, Bengaluru 560064</t>
  </si>
  <si>
    <t>arensukesh@gmail.com</t>
  </si>
  <si>
    <t>Manjula Sukesh - Mother</t>
  </si>
  <si>
    <t>Manjula Sukesh</t>
  </si>
  <si>
    <t>manjulasukesh@gmail.com</t>
  </si>
  <si>
    <t>Sukesh - Spouse</t>
  </si>
  <si>
    <t>Vivek PS</t>
  </si>
  <si>
    <t>Stanza Living Manchester house, Nagavara</t>
  </si>
  <si>
    <t>vivekpsanthosh@gmail.com</t>
  </si>
  <si>
    <t>Rejith - Friend</t>
  </si>
  <si>
    <t>Venu Ryan</t>
  </si>
  <si>
    <t>23/1, Sudha Nivasa, chikkasubanna road, Udayanagar- 560016</t>
  </si>
  <si>
    <t>venuryan007@gmail.com</t>
  </si>
  <si>
    <t>Gnaneshwar</t>
  </si>
  <si>
    <t>Karthik V H</t>
  </si>
  <si>
    <t>Cf3, Buildafina Golf View, Amarjyothi HBCS Layout, Domlur , Bangalore 560071</t>
  </si>
  <si>
    <t>karthikvh@gmail.com</t>
  </si>
  <si>
    <t>Sangeetha - Sister</t>
  </si>
  <si>
    <t>Mahesh Venkataswamy</t>
  </si>
  <si>
    <t>Flat 201, Gopuri apartment, 2nd main road, near BEML Factory, GM Palya, Bangalore - 560075</t>
  </si>
  <si>
    <t>mahesh401@gmail.com</t>
  </si>
  <si>
    <t xml:space="preserve">Vinutha Mahesh </t>
  </si>
  <si>
    <t>Bharath Ramaiah</t>
  </si>
  <si>
    <t>S/o Ramaiah, no. 1706, 5th main road, Judicial Layout, Bangalore 65</t>
  </si>
  <si>
    <t>rbbharath@gmail.com</t>
  </si>
  <si>
    <t>Devika - wife</t>
  </si>
  <si>
    <t>Reshma Manuel</t>
  </si>
  <si>
    <t>reshmaamruth@gmail.com</t>
  </si>
  <si>
    <t>Roshan - Brother</t>
  </si>
  <si>
    <t>Shivasankar G</t>
  </si>
  <si>
    <t>37, Greenwoods layout Ph-3 Jinkkethimanahalli.BLR36</t>
  </si>
  <si>
    <t>gshivasankar@gmail.com</t>
  </si>
  <si>
    <t>Usha -Wife</t>
  </si>
  <si>
    <t>Amruth</t>
  </si>
  <si>
    <t xml:space="preserve">Amruth nilaya , anjani ext ,chintamani, chikkaballapura  karnataka </t>
  </si>
  <si>
    <t>amruthravindra2005@gmail.com</t>
  </si>
  <si>
    <t>Harish [cousin]</t>
  </si>
  <si>
    <t>Uttam</t>
  </si>
  <si>
    <t>Bsk 3rd stag</t>
  </si>
  <si>
    <t>mallyais@gmail.com</t>
  </si>
  <si>
    <t xml:space="preserve">Pooorvi / wife </t>
  </si>
  <si>
    <t>Sanjay Ganesh Jambagi</t>
  </si>
  <si>
    <t xml:space="preserve"># 18 6th Cross 9th Msin K N Extn Yeswanthpur Bangalore </t>
  </si>
  <si>
    <t>sanju3588@yahoo.com</t>
  </si>
  <si>
    <t>Manoj Kumar Bhonsle</t>
  </si>
  <si>
    <t>S2, Sowmya 2 apartment, 6th cross, AECS layout, Sanjaynagar, Bangalore 560094</t>
  </si>
  <si>
    <t>manojkumarbhonsle@gmail.com</t>
  </si>
  <si>
    <t xml:space="preserve">Aditya Bhonsle </t>
  </si>
  <si>
    <t>Nirmal Kumar</t>
  </si>
  <si>
    <t xml:space="preserve">B301, Rose Garden Apartment, Arakere </t>
  </si>
  <si>
    <t>nirmalravindran@gmail.com</t>
  </si>
  <si>
    <t>Swathi, Wife</t>
  </si>
  <si>
    <t>Hemanth Satyanarayana</t>
  </si>
  <si>
    <t xml:space="preserve">114, 12nain, 29cross, BSK II stage, Bangalore </t>
  </si>
  <si>
    <t>hemanth2050@gmail.com</t>
  </si>
  <si>
    <t>Padmini</t>
  </si>
  <si>
    <t>Akshay Sharma</t>
  </si>
  <si>
    <t>D401, Purva Venezia Apartment, Yelahanka New Town, Bengaluru -560064</t>
  </si>
  <si>
    <t>akshay3107@gmail.com</t>
  </si>
  <si>
    <t>Reema Shaju (wife)</t>
  </si>
  <si>
    <t>Akash Kundapur</t>
  </si>
  <si>
    <t>Sls symphony 226. 2nd cross hebbal bangalore 560024</t>
  </si>
  <si>
    <t>akaash.chandra@gmail.com</t>
  </si>
  <si>
    <t>Shruthi / wife</t>
  </si>
  <si>
    <t>Navratan Verma</t>
  </si>
  <si>
    <t>1302, A-block, princeville apartment, mylasandra,Kengeri hobli, 560059</t>
  </si>
  <si>
    <t>navratan.verma@gmail.com</t>
  </si>
  <si>
    <t>Seema Verma, wife</t>
  </si>
  <si>
    <t>Anand Deenadayalu</t>
  </si>
  <si>
    <t>212, Vijetha Lapis Lazuli, ITPL main road, Kundalahalli, Bangalore 560037</t>
  </si>
  <si>
    <t>anand.pep@gmail.com</t>
  </si>
  <si>
    <t>Bhuvana</t>
  </si>
  <si>
    <t>Hemanth Krishnamurthy</t>
  </si>
  <si>
    <t>228 Krishnappa nilaya , Devarachikkanahalli , Bannergatta road , Bangalore 560076</t>
  </si>
  <si>
    <t>krishnamurthyhemanthkumar@gmail.com</t>
  </si>
  <si>
    <t xml:space="preserve">Vindhya - Spouse </t>
  </si>
  <si>
    <t>Thanigaipathi Munirathnam</t>
  </si>
  <si>
    <t>403, chitrakut dham block 1, Byrasandra main road CV Raman nagar Bengaluru 560093</t>
  </si>
  <si>
    <t>thanigaipathim@gmail.com</t>
  </si>
  <si>
    <t xml:space="preserve">Sunitha S spouse </t>
  </si>
  <si>
    <t>Abhay MS</t>
  </si>
  <si>
    <t>A-901 princeville apartment behind kengeri bus stand Bengaluru 560065</t>
  </si>
  <si>
    <t>abhaysirigeri237@gmail.com</t>
  </si>
  <si>
    <t xml:space="preserve">Manjunath - father </t>
  </si>
  <si>
    <t>Tejas</t>
  </si>
  <si>
    <t>#90 1st main 1st cross ramanna garden vidyaranyapura bangalore-97</t>
  </si>
  <si>
    <t>tejasbs134@gmail.com</t>
  </si>
  <si>
    <t>Shyam - Father</t>
  </si>
  <si>
    <t>Rohith channalli</t>
  </si>
  <si>
    <t>#204 A block ds max Spencer thindlu ,vidyaranyapura banglore-560097</t>
  </si>
  <si>
    <t>rohithchannalli2019@gmail.com</t>
  </si>
  <si>
    <t>Gavishiddappa (Dad)</t>
  </si>
  <si>
    <t>Vinay Devaraj</t>
  </si>
  <si>
    <t xml:space="preserve">8/1, 3rd cross, Eerapa Layout, Banaswadi road, Bangalore 43 </t>
  </si>
  <si>
    <t>vinay.devaraj@gmail.com</t>
  </si>
  <si>
    <t>Anitha - Wife</t>
  </si>
  <si>
    <t>Sreenivas Murthy</t>
  </si>
  <si>
    <t xml:space="preserve">#213 Pyramid Mahika Apartment Jakkur Main road Yelahanka  Bengaluru </t>
  </si>
  <si>
    <t>sreenivaskodipalli@gmail.com</t>
  </si>
  <si>
    <t xml:space="preserve">Pallavi - Wife </t>
  </si>
  <si>
    <t>Ram Karan</t>
  </si>
  <si>
    <t xml:space="preserve">21221, building 2, tower 1, prestige falcon city, kanakapura road </t>
  </si>
  <si>
    <t>ramkaran.d@gmail.com</t>
  </si>
  <si>
    <t>Anusha (wife)</t>
  </si>
  <si>
    <t>Pratik Parashar</t>
  </si>
  <si>
    <t xml:space="preserve"> #227 Solletti Tranquil, 9th Cross, 2nd Main Road, Manjunatha Layout,  Silver Springs Layout, Munnekollal, Bengaluru, Karnataka 560037</t>
  </si>
  <si>
    <t>pratik220695@gmail.com</t>
  </si>
  <si>
    <t xml:space="preserve">Avantika </t>
  </si>
  <si>
    <t>+918961177864</t>
  </si>
  <si>
    <t>Pratious Rekhansh</t>
  </si>
  <si>
    <t>J505, Rohan Vasantha Society, Marathahalli Bridge Service Road, Marathahalli, Bangalore -560037</t>
  </si>
  <si>
    <t>rekhansh0510@gmail.com</t>
  </si>
  <si>
    <t>Avantika Srivastava (Wife)</t>
  </si>
  <si>
    <t>Srinagesh Pandala</t>
  </si>
  <si>
    <t>Sri sai vihar 1st floor 8th main near kabir gnana Mandir behind BEL NORTH Gate Vidyaranyapura post Bangalore 560097</t>
  </si>
  <si>
    <t>srinagesh2000@gmail.com</t>
  </si>
  <si>
    <t xml:space="preserve">Gnanika pandala  spouse </t>
  </si>
  <si>
    <t>Garvit Kumar Rai</t>
  </si>
  <si>
    <t>#1649 1st floor 2nd door 26th Main Road Parangi Palya Sector 2 HSR Layout Bangalore 560102</t>
  </si>
  <si>
    <t>garvitrai013@gmail.com</t>
  </si>
  <si>
    <t xml:space="preserve">Shruti Baswa - Girlfriend </t>
  </si>
  <si>
    <t>Sudhansh Sharma</t>
  </si>
  <si>
    <t>164, 2nd Avenue, Teachers Colony, HSR LAYOUT SECTOR 5, Bangalore, Karnataka, India 560034</t>
  </si>
  <si>
    <t>sudhansh0706@gmail.com</t>
  </si>
  <si>
    <t xml:space="preserve">Pranshu Khattar, Friend </t>
  </si>
  <si>
    <t>Vrisan Jaiswal</t>
  </si>
  <si>
    <t>#1393,11th cross,21st main,1st sector,HSR layout, Bangalore-560102</t>
  </si>
  <si>
    <t>Rajnish/Spouse</t>
  </si>
  <si>
    <t>Shalini Jaiswal</t>
  </si>
  <si>
    <t>shalinijaiswal7@gmail.com</t>
  </si>
  <si>
    <t xml:space="preserve">Aditi Gaonkar </t>
  </si>
  <si>
    <t>#1005 17 block suncity apartments, sarjapur outer ring road, iblur, bangalore - 560102</t>
  </si>
  <si>
    <t>aditigaonkar13@gmail.com</t>
  </si>
  <si>
    <t xml:space="preserve">Tripti Gaonkar </t>
  </si>
  <si>
    <t>Sudhakar R</t>
  </si>
  <si>
    <t>No.73A 1st main road vittal nagar bangalore-78</t>
  </si>
  <si>
    <t>sudhu460@gmail.com</t>
  </si>
  <si>
    <t xml:space="preserve">Poornima- spouse </t>
  </si>
  <si>
    <t>Arvind v</t>
  </si>
  <si>
    <t>#19 hombelaku near parikrama school opposite to mother blossom apartment kodagahalli sahakarnagar banglore 560092</t>
  </si>
  <si>
    <t>Anigowda79@gmail.com</t>
  </si>
  <si>
    <t>Manasa</t>
  </si>
  <si>
    <t>Subodh Bhat</t>
  </si>
  <si>
    <t>C308,Maple, Raheja Residency, 3rd block, 7th main, Koramangala, Bangalore, 560034</t>
  </si>
  <si>
    <t>subodhbhat2007@gmail.com</t>
  </si>
  <si>
    <t>Tanvi Bhat, Wife</t>
  </si>
  <si>
    <t xml:space="preserve">Karthik </t>
  </si>
  <si>
    <t>No.36, 7th A Main, 20th Cross, BTM 2nd Stage, Bangalore 76</t>
  </si>
  <si>
    <t>karthi23in@gmail.com</t>
  </si>
  <si>
    <t>Sudha / Wife</t>
  </si>
  <si>
    <t>Vijay Natarajan</t>
  </si>
  <si>
    <t>AG1 DSR Krishna Royale Apartments, Munekolala Village, Marathahalli, Bengaluru 560037</t>
  </si>
  <si>
    <t>mail2vijay88@gmail.com</t>
  </si>
  <si>
    <t>Anjana Viswanathan, Spouse</t>
  </si>
  <si>
    <t xml:space="preserve">Srinivas prasad </t>
  </si>
  <si>
    <t>Shruthi enclave basapura road electronic City door number 3D Bangalore 560100</t>
  </si>
  <si>
    <t>srinivasprasad841@gmail.com</t>
  </si>
  <si>
    <t>Sikkandar basha</t>
  </si>
  <si>
    <t>Avinash shetty</t>
  </si>
  <si>
    <t>#55 t1 white dream manor krishnappa layout rmv 2 stage sanjaynagar bengaluru 560094</t>
  </si>
  <si>
    <t>avinash.161@gmail.com</t>
  </si>
  <si>
    <t>Madhavi shetty - wife</t>
  </si>
  <si>
    <t>Sahil Rais</t>
  </si>
  <si>
    <t xml:space="preserve">H101 Purva Pavilion, Kempapura Hebbal, Bangalore 560024, Karnataka </t>
  </si>
  <si>
    <t>sahil.rais@live.com</t>
  </si>
  <si>
    <t>Father Shakeb Rais</t>
  </si>
  <si>
    <t>DEEPAK KANAKARAJU</t>
  </si>
  <si>
    <t>No.187, Flat S02, 2nd Cross, Koramangala 1st Block
Koramangala
BENGALURU, KARNATAKA 560034
India</t>
  </si>
  <si>
    <t>deepaksalem25@gmail.com</t>
  </si>
  <si>
    <t>KANAKARAJU R - FATHER</t>
  </si>
  <si>
    <t>Sharath C S</t>
  </si>
  <si>
    <t xml:space="preserve">Yeshwantpur, Bangalore </t>
  </si>
  <si>
    <t>sharathshri@gmail.com</t>
  </si>
  <si>
    <t>Karthick C S</t>
  </si>
  <si>
    <t>39/8, kadiran palya, Indira Nagar, Bengaluru-560038</t>
  </si>
  <si>
    <t xml:space="preserve">Shyam </t>
  </si>
  <si>
    <t xml:space="preserve">90, 2nd floor, Ramanna Garden Vidyaranyapura </t>
  </si>
  <si>
    <t>shyam_sss_in@yahoo.com</t>
  </si>
  <si>
    <t xml:space="preserve">Tejas </t>
  </si>
  <si>
    <t>Kiran Kumar B</t>
  </si>
  <si>
    <t>No. 4289/a, 21st main, Subramanyanagar, Bangalore -560021</t>
  </si>
  <si>
    <t>kiranb82@gmail.com</t>
  </si>
  <si>
    <t xml:space="preserve">Asha - spouse </t>
  </si>
  <si>
    <t>Asha L</t>
  </si>
  <si>
    <t>No.4289/a, 21st main, Subramanyanagar, Bangalore-560021</t>
  </si>
  <si>
    <t xml:space="preserve">Kiran-spouse </t>
  </si>
  <si>
    <t xml:space="preserve">Sampath Kannanth </t>
  </si>
  <si>
    <t>500, Krishna Krupa , 14th cross , Vajarahalli bangalore 62</t>
  </si>
  <si>
    <t>sampath.kannanth@gmail.com</t>
  </si>
  <si>
    <t>Anirudd</t>
  </si>
  <si>
    <t>VinayKumar</t>
  </si>
  <si>
    <t>Neena VinayKumar</t>
  </si>
  <si>
    <t>Sai Kiran</t>
  </si>
  <si>
    <t>Swarbendu Dasarak SD</t>
  </si>
  <si>
    <t>Cansa Pride Apartment, Bellandur - Doddakanalli road, Bellandur, 560035</t>
  </si>
  <si>
    <t>kiransujji1349@gmail.com</t>
  </si>
  <si>
    <t>Tharuni</t>
  </si>
  <si>
    <t>Jeyadev N</t>
  </si>
  <si>
    <t xml:space="preserve">218, 1st floor, 16th main road, hsr layout, sector-3, near hsr club, Bangalore 560102 </t>
  </si>
  <si>
    <t>jaidev269@gmail.com</t>
  </si>
  <si>
    <t xml:space="preserve">Eila - Wife </t>
  </si>
  <si>
    <t xml:space="preserve">Varusa Routhar </t>
  </si>
  <si>
    <t>A-08, LBI Bliss, Belathur Main Road, Bengaluru 560067</t>
  </si>
  <si>
    <t>routharvarusa@gmail.com</t>
  </si>
  <si>
    <t>Fahima Hussaina</t>
  </si>
  <si>
    <t>Dipankar Nath</t>
  </si>
  <si>
    <t>C106, Vasathi Avante, Rachenahalli, Bangalore-560077</t>
  </si>
  <si>
    <t>dip.robin@gmail.com</t>
  </si>
  <si>
    <t>Dikshita- Spouse</t>
  </si>
  <si>
    <t>Abhishek R</t>
  </si>
  <si>
    <t xml:space="preserve">Rr nagar Bangalore </t>
  </si>
  <si>
    <t>rabhishek501@gmail.com</t>
  </si>
  <si>
    <t>Ramesh- father</t>
  </si>
  <si>
    <t>Chandan Gowda</t>
  </si>
  <si>
    <t>#559/5 Ground floor 15th Main Rd, beside Aster labs, A Block, Sahakar Nagar, Bengaluru, Karnataka 560092</t>
  </si>
  <si>
    <t>chandangowda1525@gmail.com</t>
  </si>
  <si>
    <t xml:space="preserve">Lakshmi Pathi C L </t>
  </si>
  <si>
    <t>Ugender Sathyendranath</t>
  </si>
  <si>
    <t>Srinivas Residency Flat No E5 Block 2 2nd main road K R Gardens Murugeshpalya Bangalore 560017</t>
  </si>
  <si>
    <t>amigoreddy@gmail.com</t>
  </si>
  <si>
    <t>Preethi Reddy, Wife</t>
  </si>
  <si>
    <t>Anupam Chand</t>
  </si>
  <si>
    <t>B1104, Mantri Astra, Hennur Gardens, Hennur Bande, Bengaluru 560043</t>
  </si>
  <si>
    <t>anupamchand@gmail.com</t>
  </si>
  <si>
    <t>Nivedita Chatterji</t>
  </si>
  <si>
    <t>Naman Saraf</t>
  </si>
  <si>
    <t>Colive 179, Doddenakundi, 560037</t>
  </si>
  <si>
    <t>namansaraf@gmail.com</t>
  </si>
  <si>
    <t>BR Saraf, Father</t>
  </si>
  <si>
    <t>Vishal Srivastava</t>
  </si>
  <si>
    <t>1490, 26th Main 25th A cross, sector 2 ( behind IDC HOTEL), HSR LAYOUT, Bangalore 560102</t>
  </si>
  <si>
    <t>vishal4hr@gmail.com</t>
  </si>
  <si>
    <t xml:space="preserve">Alka </t>
  </si>
  <si>
    <t>Poonam Navale</t>
  </si>
  <si>
    <t xml:space="preserve">5th cross, MSR North City, thanisandra </t>
  </si>
  <si>
    <t>thegjbiker@gmail.com</t>
  </si>
  <si>
    <t>09834011165</t>
  </si>
  <si>
    <t>Father - Arjun Navale</t>
  </si>
  <si>
    <t>Ashwin kumar</t>
  </si>
  <si>
    <t>Door no 102, 2nd stage kuribarahallj</t>
  </si>
  <si>
    <t>ashwinkumar.kc14@gmail.com</t>
  </si>
  <si>
    <t xml:space="preserve">Kalpana </t>
  </si>
  <si>
    <t>Anand HS</t>
  </si>
  <si>
    <t>#2, 1st Main Road,Sampige Layout, Vijayanagar,Bangalore -560079</t>
  </si>
  <si>
    <t>anandhanur@gmail.com</t>
  </si>
  <si>
    <t>Ashwini HS</t>
  </si>
  <si>
    <t>Ramaprasad</t>
  </si>
  <si>
    <t>422-B, 4th floor, Baldota Signature, 89/4, Rachenahalli main road, Mestripalya, BENGALURU, KARNATAKA 560077</t>
  </si>
  <si>
    <t>rpraam@gmail.com</t>
  </si>
  <si>
    <t>Anusha - Spouse</t>
  </si>
  <si>
    <t>Yogita ashwin</t>
  </si>
  <si>
    <t xml:space="preserve">Door no 102 Kurubarahalli </t>
  </si>
  <si>
    <t>yogitamurdeshwar@gmail.com</t>
  </si>
  <si>
    <t>Ashwin</t>
  </si>
  <si>
    <t>Sushma B</t>
  </si>
  <si>
    <t>#2,1st Main Road, Pattegarpalya,Sampige Layout, Vijaynagar,Blore - 79</t>
  </si>
  <si>
    <t>sushma.gowda277@gmail.com</t>
  </si>
  <si>
    <t>Anusha</t>
  </si>
  <si>
    <t>422, Baldota signature, Rachenahalli main road, Mestripalya, Bangalore 560077</t>
  </si>
  <si>
    <t>anushamjois753@gmail.com</t>
  </si>
  <si>
    <t>Ram, husband</t>
  </si>
  <si>
    <t>Rakshith k</t>
  </si>
  <si>
    <t>#3 11th cross 7th main road nr colony Basavanagudi</t>
  </si>
  <si>
    <t>rakshith190802@gmail.com</t>
  </si>
  <si>
    <t>Kiran kumar - father</t>
  </si>
  <si>
    <t>Shubham Biswas</t>
  </si>
  <si>
    <t>G-1625, Brigade El Dorado, Bagalur</t>
  </si>
  <si>
    <t>shubhambiswas12@gmail.com</t>
  </si>
  <si>
    <t>Dipanker Biswas Father</t>
  </si>
  <si>
    <t>Sachin K G</t>
  </si>
  <si>
    <t>Btm layout Bangalore</t>
  </si>
  <si>
    <t>sachinkg@anthology.com</t>
  </si>
  <si>
    <t>Kiran Dikshit</t>
  </si>
  <si>
    <t>No 7, parvathii. 7th cross, hanumagiri ext, chikkalasandra, Bangalore 560061</t>
  </si>
  <si>
    <t>kiran.sd@gmail.com</t>
  </si>
  <si>
    <t>Shivamurthy , Father</t>
  </si>
  <si>
    <t>yetika vats</t>
  </si>
  <si>
    <t>608, ITI layout park , 5th main , 2 nd cross ,hosapalaya , banglore</t>
  </si>
  <si>
    <t>yetikavats18@gmail.com</t>
  </si>
  <si>
    <t>Junaid , friend</t>
  </si>
  <si>
    <t>Abhishek Chatterjee</t>
  </si>
  <si>
    <t>Flat No 102, Building No 13, SJR Eternity Phase 1, Hoodi</t>
  </si>
  <si>
    <t>infinityatme@gmail.com</t>
  </si>
  <si>
    <t>Basumita Chatterjee, Mother</t>
  </si>
  <si>
    <t>Esha Sunil Bharadwaj</t>
  </si>
  <si>
    <t>#21, 8th D Main, Srinidhi Layout, Vidyaranyapura, Bangalore - 560097</t>
  </si>
  <si>
    <t>eshabharadwaj.nps@gmail.com</t>
  </si>
  <si>
    <t>Anitha CV - Mother</t>
  </si>
  <si>
    <t>Pradeep K</t>
  </si>
  <si>
    <t>#76, 4th cross, Dee Enclave layout, Kodigehalli, Bangalore 560092</t>
  </si>
  <si>
    <t>pradeepk_06@yahoo.co.in</t>
  </si>
  <si>
    <t>LATHASHREE (wife)</t>
  </si>
  <si>
    <t>Sujith Shetty</t>
  </si>
  <si>
    <t>Rajajinagar, Bengaluru</t>
  </si>
  <si>
    <t>Shashi</t>
  </si>
  <si>
    <t>Balaji</t>
  </si>
  <si>
    <t>Gayathri - Wife</t>
  </si>
  <si>
    <t>422, C block, Baldota Signatures, Rachenahalli, Mestripalya, Behind Arvind Sporcia, Bengaluru - 560077</t>
  </si>
  <si>
    <t>Ram - Husband</t>
  </si>
  <si>
    <t>Dr Darshan</t>
  </si>
  <si>
    <t>darshanbose9088@gmail.com</t>
  </si>
  <si>
    <t>Kalpavrukshasrisai Nilaya Malur</t>
  </si>
  <si>
    <t>Varun brother</t>
  </si>
  <si>
    <r>
      <rPr>
        <rFont val="Arial, sans-serif"/>
        <i/>
        <color rgb="FFCCCCCC"/>
      </rPr>
      <t xml:space="preserve">36 </t>
    </r>
    <r>
      <rPr>
        <rFont val="Arial, sans-serif"/>
        <i/>
        <color rgb="FFCCCCCC"/>
        <sz val="7.0"/>
      </rPr>
      <t>Riders</t>
    </r>
  </si>
  <si>
    <r>
      <rPr>
        <rFont val="Arial, sans-serif"/>
        <color rgb="FF00B0F0"/>
      </rPr>
      <t>-</t>
    </r>
    <r>
      <rPr>
        <rFont val="Arial, sans-serif"/>
        <color rgb="FF000000"/>
      </rPr>
      <t xml:space="preserve"> + 2.5</t>
    </r>
  </si>
  <si>
    <r>
      <rPr>
        <rFont val="Arial, sans-serif"/>
        <color rgb="FF4EA72E"/>
      </rPr>
      <t>-</t>
    </r>
    <r>
      <rPr>
        <rFont val="Arial, sans-serif"/>
        <color rgb="FF000000"/>
      </rPr>
      <t xml:space="preserve"> + 2.5</t>
    </r>
  </si>
  <si>
    <t>Sapna</t>
  </si>
  <si>
    <t>Jay</t>
  </si>
  <si>
    <t>Kiran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</si>
</sst>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color rgb="FF000000"/>
      <name val="Arial"/>
    </font>
    <font/>
    <font>
      <i/>
      <color rgb="FF000000"/>
      <name val="Arial"/>
    </font>
    <font>
      <b/>
      <i/>
      <color rgb="FF000000"/>
      <name val="Arial"/>
    </font>
    <font>
      <color theme="1"/>
      <name val="Arial"/>
      <scheme val="minor"/>
    </font>
    <font>
      <color rgb="FF000000"/>
      <name val="Arial"/>
    </font>
    <font>
      <color theme="1"/>
      <name val="Arial"/>
    </font>
    <font>
      <b/>
      <color rgb="FFFF0000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Roboto"/>
    </font>
    <font>
      <color rgb="FF000000"/>
      <name val="Arial"/>
      <scheme val="minor"/>
    </font>
    <font>
      <color rgb="FFD9D9D9"/>
      <name val="Arial"/>
      <scheme val="minor"/>
    </font>
    <font>
      <b/>
      <color rgb="FFCCCCCC"/>
      <name val="Arial"/>
    </font>
    <font>
      <i/>
      <color rgb="FFCCCCCC"/>
      <name val="Arial"/>
    </font>
    <font>
      <color rgb="FFCCCCCC"/>
      <name val="Arial"/>
    </font>
    <font>
      <b/>
      <i/>
      <color rgb="FFCCCCCC"/>
      <name val="Arial"/>
    </font>
    <font>
      <color rgb="FFCCCCCC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4EA72E"/>
        <bgColor rgb="FF4EA72E"/>
      </patternFill>
    </fill>
    <fill>
      <patternFill patternType="solid">
        <fgColor rgb="FFE97132"/>
        <bgColor rgb="FFE97132"/>
      </patternFill>
    </fill>
    <fill>
      <patternFill patternType="solid">
        <fgColor rgb="FFF8F9FA"/>
        <bgColor rgb="FFF8F9FA"/>
      </patternFill>
    </fill>
  </fills>
  <borders count="35">
    <border/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medium">
        <color rgb="FFFF0000"/>
      </bottom>
    </border>
    <border>
      <right style="thin">
        <color rgb="FF000000"/>
      </right>
      <bottom style="medium">
        <color rgb="FFFF0000"/>
      </bottom>
    </border>
    <border>
      <right style="thin">
        <color rgb="FF000000"/>
      </right>
      <bottom style="medium">
        <color rgb="FFEA4335"/>
      </bottom>
    </border>
    <border>
      <bottom style="medium">
        <color rgb="FFEA4335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FF9900"/>
      </bottom>
    </border>
    <border>
      <right style="thin">
        <color rgb="FF000000"/>
      </right>
      <bottom style="medium">
        <color rgb="FFFF99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FF0000"/>
      </bottom>
    </border>
    <border>
      <left style="thin">
        <color rgb="FF000000"/>
      </left>
      <right style="thin">
        <color rgb="FF000000"/>
      </right>
      <bottom style="medium">
        <color rgb="FFFFC000"/>
      </bottom>
    </border>
    <border>
      <right style="thin">
        <color rgb="FF000000"/>
      </right>
      <bottom style="medium">
        <color rgb="FFFFC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EA4335"/>
      </bottom>
    </border>
    <border>
      <left style="thin">
        <color rgb="FF000000"/>
      </left>
      <top style="thin">
        <color rgb="FF000000"/>
      </top>
      <bottom style="medium">
        <color rgb="FFEA4335"/>
      </bottom>
    </border>
    <border>
      <bottom style="medium">
        <color rgb="FFFF0000"/>
      </bottom>
    </border>
    <border>
      <bottom style="medium">
        <color rgb="FFFF9900"/>
      </bottom>
    </border>
    <border>
      <left style="thin">
        <color rgb="FF000000"/>
      </left>
      <right style="thin">
        <color rgb="FF000000"/>
      </right>
      <bottom style="medium">
        <color rgb="FFEA4335"/>
      </bottom>
    </border>
    <border>
      <left style="thin">
        <color rgb="FF000000"/>
      </left>
      <right style="thin">
        <color rgb="FF000000"/>
      </right>
      <bottom style="medium">
        <color rgb="FFFBBC04"/>
      </bottom>
    </border>
    <border>
      <right style="thin">
        <color rgb="FF000000"/>
      </right>
      <bottom style="medium">
        <color rgb="FFFBBC04"/>
      </bottom>
    </border>
    <border>
      <left style="thin">
        <color rgb="FF000000"/>
      </left>
      <bottom style="medium">
        <color rgb="FFEA4335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FBBC04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medium">
        <color rgb="FFEA4335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shrinkToFit="0" wrapText="0"/>
    </xf>
    <xf borderId="3" fillId="0" fontId="2" numFmtId="0" xfId="0" applyBorder="1" applyFont="1"/>
    <xf borderId="3" fillId="0" fontId="1" numFmtId="0" xfId="0" applyAlignment="1" applyBorder="1" applyFont="1">
      <alignment horizontal="center" readingOrder="0" shrinkToFit="0" wrapText="0"/>
    </xf>
    <xf borderId="3" fillId="0" fontId="3" numFmtId="0" xfId="0" applyAlignment="1" applyBorder="1" applyFont="1">
      <alignment horizontal="center" readingOrder="0" shrinkToFit="0" wrapText="0"/>
    </xf>
    <xf borderId="3" fillId="2" fontId="3" numFmtId="0" xfId="0" applyAlignment="1" applyBorder="1" applyFont="1">
      <alignment horizontal="center" readingOrder="0" shrinkToFit="0" wrapText="0"/>
    </xf>
    <xf borderId="4" fillId="0" fontId="4" numFmtId="0" xfId="0" applyAlignment="1" applyBorder="1" applyFont="1">
      <alignment horizontal="center" readingOrder="0" shrinkToFit="0" wrapText="0"/>
    </xf>
    <xf borderId="3" fillId="0" fontId="4" numFmtId="0" xfId="0" applyAlignment="1" applyBorder="1" applyFont="1">
      <alignment horizontal="center" shrinkToFit="0" wrapText="0"/>
    </xf>
    <xf borderId="3" fillId="0" fontId="5" numFmtId="0" xfId="0" applyBorder="1" applyFont="1"/>
    <xf borderId="5" fillId="0" fontId="6" numFmtId="0" xfId="0" applyAlignment="1" applyBorder="1" applyFont="1">
      <alignment horizontal="center" readingOrder="0" shrinkToFit="0" wrapText="0"/>
    </xf>
    <xf borderId="6" fillId="3" fontId="1" numFmtId="0" xfId="0" applyAlignment="1" applyBorder="1" applyFill="1" applyFont="1">
      <alignment readingOrder="0" shrinkToFit="0" vertical="bottom" wrapText="0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6" fillId="4" fontId="6" numFmtId="0" xfId="0" applyAlignment="1" applyBorder="1" applyFill="1" applyFont="1">
      <alignment horizontal="center" readingOrder="0" shrinkToFit="0" wrapText="0"/>
    </xf>
    <xf borderId="6" fillId="4" fontId="1" numFmtId="0" xfId="0" applyAlignment="1" applyBorder="1" applyFont="1">
      <alignment horizontal="center" readingOrder="0" shrinkToFit="0" wrapText="0"/>
    </xf>
    <xf borderId="6" fillId="0" fontId="6" numFmtId="0" xfId="0" applyAlignment="1" applyBorder="1" applyFont="1">
      <alignment horizontal="center" readingOrder="0" shrinkToFit="0" wrapText="0"/>
    </xf>
    <xf borderId="7" fillId="0" fontId="6" numFmtId="0" xfId="0" applyAlignment="1" applyBorder="1" applyFont="1">
      <alignment horizontal="center" readingOrder="0" shrinkToFit="0" wrapText="0"/>
    </xf>
    <xf borderId="7" fillId="4" fontId="6" numFmtId="0" xfId="0" applyAlignment="1" applyBorder="1" applyFont="1">
      <alignment horizontal="center" readingOrder="0" shrinkToFit="0" wrapText="0"/>
    </xf>
    <xf borderId="8" fillId="0" fontId="6" numFmtId="0" xfId="0" applyAlignment="1" applyBorder="1" applyFont="1">
      <alignment horizontal="center" readingOrder="0" shrinkToFit="0" wrapText="0"/>
    </xf>
    <xf borderId="9" fillId="0" fontId="1" numFmtId="0" xfId="0" applyAlignment="1" applyBorder="1" applyFont="1">
      <alignment horizontal="center" readingOrder="0" shrinkToFit="0" wrapText="0"/>
    </xf>
    <xf borderId="10" fillId="0" fontId="1" numFmtId="0" xfId="0" applyAlignment="1" applyBorder="1" applyFont="1">
      <alignment horizontal="center" readingOrder="0" shrinkToFit="0" wrapText="0"/>
    </xf>
    <xf borderId="10" fillId="3" fontId="8" numFmtId="4" xfId="0" applyAlignment="1" applyBorder="1" applyFont="1" applyNumberFormat="1">
      <alignment horizontal="center" readingOrder="0" shrinkToFit="0" wrapText="0"/>
    </xf>
    <xf borderId="2" fillId="0" fontId="6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shrinkToFit="0" vertical="bottom" wrapText="0"/>
    </xf>
    <xf borderId="11" fillId="0" fontId="6" numFmtId="0" xfId="0" applyAlignment="1" applyBorder="1" applyFont="1">
      <alignment horizontal="center" readingOrder="0" shrinkToFit="0" wrapText="0"/>
    </xf>
    <xf borderId="12" fillId="0" fontId="6" numFmtId="0" xfId="0" applyAlignment="1" applyBorder="1" applyFont="1">
      <alignment readingOrder="0" shrinkToFit="0" vertical="bottom" wrapText="0"/>
    </xf>
    <xf borderId="6" fillId="0" fontId="6" numFmtId="0" xfId="0" applyAlignment="1" applyBorder="1" applyFont="1">
      <alignment horizontal="center" shrinkToFit="0" wrapText="0"/>
    </xf>
    <xf borderId="13" fillId="0" fontId="6" numFmtId="0" xfId="0" applyAlignment="1" applyBorder="1" applyFont="1">
      <alignment horizontal="center" shrinkToFit="0" wrapText="0"/>
    </xf>
    <xf borderId="14" fillId="0" fontId="6" numFmtId="0" xfId="0" applyAlignment="1" applyBorder="1" applyFont="1">
      <alignment horizontal="center" shrinkToFit="0" wrapText="0"/>
    </xf>
    <xf borderId="0" fillId="0" fontId="4" numFmtId="0" xfId="0" applyAlignment="1" applyFont="1">
      <alignment horizontal="center" shrinkToFit="0" wrapText="0"/>
    </xf>
    <xf borderId="15" fillId="0" fontId="6" numFmtId="0" xfId="0" applyAlignment="1" applyBorder="1" applyFont="1">
      <alignment horizontal="center" readingOrder="0" shrinkToFit="0" wrapText="0"/>
    </xf>
    <xf borderId="15" fillId="2" fontId="6" numFmtId="0" xfId="0" applyAlignment="1" applyBorder="1" applyFont="1">
      <alignment horizontal="center" readingOrder="0" shrinkToFit="0" wrapText="0"/>
    </xf>
    <xf borderId="13" fillId="0" fontId="6" numFmtId="0" xfId="0" applyAlignment="1" applyBorder="1" applyFont="1">
      <alignment horizontal="center" readingOrder="0" shrinkToFit="0" wrapText="0"/>
    </xf>
    <xf borderId="14" fillId="0" fontId="6" numFmtId="0" xfId="0" applyAlignment="1" applyBorder="1" applyFont="1">
      <alignment horizontal="center" readingOrder="0" shrinkToFit="0" wrapText="0"/>
    </xf>
    <xf borderId="9" fillId="0" fontId="6" numFmtId="0" xfId="0" applyAlignment="1" applyBorder="1" applyFont="1">
      <alignment horizontal="center" readingOrder="0" shrinkToFit="0" wrapText="0"/>
    </xf>
    <xf borderId="15" fillId="0" fontId="1" numFmtId="0" xfId="0" applyAlignment="1" applyBorder="1" applyFont="1">
      <alignment horizontal="center" readingOrder="0" shrinkToFit="0" wrapText="0"/>
    </xf>
    <xf borderId="16" fillId="0" fontId="1" numFmtId="0" xfId="0" applyAlignment="1" applyBorder="1" applyFont="1">
      <alignment horizontal="center" readingOrder="0" shrinkToFit="0" wrapText="0"/>
    </xf>
    <xf borderId="10" fillId="5" fontId="9" numFmtId="4" xfId="0" applyAlignment="1" applyBorder="1" applyFill="1" applyFont="1" applyNumberFormat="1">
      <alignment horizontal="center" readingOrder="0" shrinkToFit="0" wrapText="0"/>
    </xf>
    <xf borderId="6" fillId="0" fontId="6" numFmtId="0" xfId="0" applyAlignment="1" applyBorder="1" applyFont="1">
      <alignment readingOrder="0" shrinkToFit="0" vertical="bottom" wrapText="0"/>
    </xf>
    <xf borderId="6" fillId="6" fontId="6" numFmtId="0" xfId="0" applyAlignment="1" applyBorder="1" applyFill="1" applyFont="1">
      <alignment horizontal="center" readingOrder="0" shrinkToFit="0" wrapText="0"/>
    </xf>
    <xf borderId="17" fillId="0" fontId="6" numFmtId="0" xfId="0" applyAlignment="1" applyBorder="1" applyFont="1">
      <alignment horizontal="center" shrinkToFit="0" wrapText="0"/>
    </xf>
    <xf borderId="16" fillId="0" fontId="6" numFmtId="0" xfId="0" applyAlignment="1" applyBorder="1" applyFont="1">
      <alignment horizontal="center" readingOrder="0" shrinkToFit="0" wrapText="0"/>
    </xf>
    <xf borderId="18" fillId="0" fontId="6" numFmtId="0" xfId="0" applyAlignment="1" applyBorder="1" applyFont="1">
      <alignment horizontal="center" readingOrder="0" shrinkToFit="0" wrapText="0"/>
    </xf>
    <xf borderId="19" fillId="0" fontId="6" numFmtId="0" xfId="0" applyAlignment="1" applyBorder="1" applyFont="1">
      <alignment readingOrder="0" shrinkToFit="0" vertical="bottom" wrapText="0"/>
    </xf>
    <xf borderId="14" fillId="0" fontId="6" numFmtId="0" xfId="0" applyAlignment="1" applyBorder="1" applyFont="1">
      <alignment horizontal="center" shrinkToFit="0" wrapText="0"/>
    </xf>
    <xf borderId="14" fillId="6" fontId="6" numFmtId="0" xfId="0" applyAlignment="1" applyBorder="1" applyFont="1">
      <alignment horizontal="center" readingOrder="0" shrinkToFit="0" wrapText="0"/>
    </xf>
    <xf borderId="5" fillId="4" fontId="6" numFmtId="0" xfId="0" applyAlignment="1" applyBorder="1" applyFont="1">
      <alignment horizontal="center" readingOrder="0" shrinkToFit="0" wrapText="0"/>
    </xf>
    <xf borderId="15" fillId="0" fontId="6" numFmtId="0" xfId="0" applyAlignment="1" applyBorder="1" applyFont="1">
      <alignment horizontal="center" readingOrder="0" shrinkToFit="0" wrapText="1"/>
    </xf>
    <xf borderId="20" fillId="3" fontId="8" numFmtId="4" xfId="0" applyAlignment="1" applyBorder="1" applyFont="1" applyNumberFormat="1">
      <alignment horizontal="center" readingOrder="0" shrinkToFit="0" wrapText="0"/>
    </xf>
    <xf borderId="0" fillId="0" fontId="6" numFmtId="0" xfId="0" applyAlignment="1" applyFont="1">
      <alignment horizontal="center" readingOrder="0" shrinkToFit="0" wrapText="0"/>
    </xf>
    <xf borderId="17" fillId="2" fontId="6" numFmtId="0" xfId="0" applyAlignment="1" applyBorder="1" applyFont="1">
      <alignment horizontal="center" readingOrder="0" shrinkToFit="0" wrapText="0"/>
    </xf>
    <xf borderId="21" fillId="0" fontId="6" numFmtId="0" xfId="0" applyAlignment="1" applyBorder="1" applyFont="1">
      <alignment horizontal="center" readingOrder="0" shrinkToFit="0" wrapText="0"/>
    </xf>
    <xf borderId="7" fillId="6" fontId="6" numFmtId="0" xfId="0" applyAlignment="1" applyBorder="1" applyFont="1">
      <alignment horizontal="center" readingOrder="0" shrinkToFit="0" wrapText="0"/>
    </xf>
    <xf borderId="8" fillId="4" fontId="6" numFmtId="0" xfId="0" applyAlignment="1" applyBorder="1" applyFont="1">
      <alignment horizontal="center" readingOrder="0" shrinkToFit="0" wrapText="0"/>
    </xf>
    <xf borderId="0" fillId="7" fontId="6" numFmtId="0" xfId="0" applyAlignment="1" applyFill="1" applyFont="1">
      <alignment horizontal="center" readingOrder="0" shrinkToFit="0" wrapText="0"/>
    </xf>
    <xf borderId="14" fillId="0" fontId="6" numFmtId="0" xfId="0" applyAlignment="1" applyBorder="1" applyFont="1">
      <alignment readingOrder="0" shrinkToFit="0" vertical="bottom" wrapText="0"/>
    </xf>
    <xf borderId="0" fillId="4" fontId="6" numFmtId="0" xfId="0" applyAlignment="1" applyFont="1">
      <alignment horizontal="center" readingOrder="0" shrinkToFit="0" wrapText="0"/>
    </xf>
    <xf borderId="0" fillId="6" fontId="6" numFmtId="0" xfId="0" applyAlignment="1" applyFont="1">
      <alignment horizontal="center" readingOrder="0" shrinkToFit="0" wrapText="0"/>
    </xf>
    <xf borderId="6" fillId="0" fontId="6" numFmtId="0" xfId="0" applyAlignment="1" applyBorder="1" applyFont="1">
      <alignment horizontal="center" shrinkToFit="0" wrapText="0"/>
    </xf>
    <xf borderId="22" fillId="0" fontId="6" numFmtId="0" xfId="0" applyAlignment="1" applyBorder="1" applyFont="1">
      <alignment horizontal="center" readingOrder="0" shrinkToFit="0" wrapText="0"/>
    </xf>
    <xf borderId="13" fillId="4" fontId="6" numFmtId="0" xfId="0" applyAlignment="1" applyBorder="1" applyFont="1">
      <alignment horizontal="center" readingOrder="0" shrinkToFit="0" wrapText="0"/>
    </xf>
    <xf borderId="23" fillId="0" fontId="6" numFmtId="0" xfId="0" applyAlignment="1" applyBorder="1" applyFont="1">
      <alignment readingOrder="0" shrinkToFit="0" vertical="bottom" wrapText="0"/>
    </xf>
    <xf borderId="23" fillId="0" fontId="6" numFmtId="0" xfId="0" applyAlignment="1" applyBorder="1" applyFont="1">
      <alignment shrinkToFit="0" vertical="bottom" wrapText="0"/>
    </xf>
    <xf borderId="24" fillId="0" fontId="6" numFmtId="0" xfId="0" applyAlignment="1" applyBorder="1" applyFont="1">
      <alignment readingOrder="0" shrinkToFit="0" vertical="bottom" wrapText="0"/>
    </xf>
    <xf borderId="24" fillId="0" fontId="6" numFmtId="0" xfId="0" applyAlignment="1" applyBorder="1" applyFont="1">
      <alignment shrinkToFit="0" vertical="bottom" wrapText="0"/>
    </xf>
    <xf borderId="7" fillId="0" fontId="6" numFmtId="0" xfId="0" applyAlignment="1" applyBorder="1" applyFont="1">
      <alignment horizontal="center" shrinkToFit="0" wrapText="0"/>
    </xf>
    <xf borderId="25" fillId="0" fontId="6" numFmtId="0" xfId="0" applyAlignment="1" applyBorder="1" applyFont="1">
      <alignment horizontal="center" shrinkToFit="0" wrapText="0"/>
    </xf>
    <xf borderId="7" fillId="0" fontId="6" numFmtId="0" xfId="0" applyAlignment="1" applyBorder="1" applyFont="1">
      <alignment horizontal="center" shrinkToFit="0" wrapText="0"/>
    </xf>
    <xf borderId="26" fillId="0" fontId="6" numFmtId="0" xfId="0" applyAlignment="1" applyBorder="1" applyFont="1">
      <alignment horizontal="center" readingOrder="0" shrinkToFit="0" wrapText="0"/>
    </xf>
    <xf borderId="27" fillId="0" fontId="6" numFmtId="0" xfId="0" applyAlignment="1" applyBorder="1" applyFont="1">
      <alignment readingOrder="0" shrinkToFit="0" vertical="bottom" wrapText="0"/>
    </xf>
    <xf borderId="5" fillId="0" fontId="6" numFmtId="0" xfId="0" applyAlignment="1" applyBorder="1" applyFont="1">
      <alignment horizontal="center" shrinkToFit="0" wrapText="0"/>
    </xf>
    <xf borderId="17" fillId="4" fontId="6" numFmtId="0" xfId="0" applyAlignment="1" applyBorder="1" applyFont="1">
      <alignment horizontal="center" readingOrder="0" shrinkToFit="0" wrapText="0"/>
    </xf>
    <xf borderId="8" fillId="6" fontId="6" numFmtId="0" xfId="0" applyAlignment="1" applyBorder="1" applyFont="1">
      <alignment horizontal="center" readingOrder="0" shrinkToFit="0" wrapText="0"/>
    </xf>
    <xf borderId="5" fillId="6" fontId="6" numFmtId="0" xfId="0" applyAlignment="1" applyBorder="1" applyFont="1">
      <alignment horizontal="center" readingOrder="0" shrinkToFit="0" wrapText="0"/>
    </xf>
    <xf borderId="25" fillId="0" fontId="6" numFmtId="0" xfId="0" applyAlignment="1" applyBorder="1" applyFont="1">
      <alignment horizontal="center" readingOrder="0" shrinkToFit="0" wrapText="0"/>
    </xf>
    <xf borderId="28" fillId="0" fontId="6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shrinkToFit="0" vertical="bottom" wrapText="0"/>
    </xf>
    <xf borderId="0" fillId="0" fontId="10" numFmtId="0" xfId="0" applyFont="1"/>
    <xf borderId="29" fillId="0" fontId="6" numFmtId="0" xfId="0" applyAlignment="1" applyBorder="1" applyFont="1">
      <alignment readingOrder="0" shrinkToFit="0" vertical="bottom" wrapText="0"/>
    </xf>
    <xf borderId="14" fillId="0" fontId="1" numFmtId="0" xfId="0" applyAlignment="1" applyBorder="1" applyFont="1">
      <alignment horizontal="center" readingOrder="0" shrinkToFit="0" wrapText="0"/>
    </xf>
    <xf borderId="30" fillId="0" fontId="6" numFmtId="0" xfId="0" applyAlignment="1" applyBorder="1" applyFont="1">
      <alignment readingOrder="0" shrinkToFit="0" vertical="bottom" wrapText="0"/>
    </xf>
    <xf borderId="31" fillId="6" fontId="6" numFmtId="0" xfId="0" applyAlignment="1" applyBorder="1" applyFont="1">
      <alignment horizontal="center" readingOrder="0" shrinkToFit="0" wrapText="0"/>
    </xf>
    <xf borderId="14" fillId="0" fontId="3" numFmtId="0" xfId="0" applyAlignment="1" applyBorder="1" applyFont="1">
      <alignment readingOrder="0" shrinkToFit="0" vertical="bottom" wrapText="0"/>
    </xf>
    <xf borderId="14" fillId="0" fontId="3" numFmtId="0" xfId="0" applyAlignment="1" applyBorder="1" applyFont="1">
      <alignment horizontal="center" readingOrder="0" shrinkToFit="0" wrapText="0"/>
    </xf>
    <xf borderId="14" fillId="0" fontId="3" numFmtId="0" xfId="0" applyAlignment="1" applyBorder="1" applyFont="1">
      <alignment horizontal="center" shrinkToFit="0" wrapText="0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14" fillId="2" fontId="6" numFmtId="0" xfId="0" applyAlignment="1" applyBorder="1" applyFont="1">
      <alignment horizontal="center" readingOrder="0" shrinkToFit="0" wrapText="0"/>
    </xf>
    <xf borderId="20" fillId="0" fontId="6" numFmtId="0" xfId="0" applyAlignment="1" applyBorder="1" applyFont="1">
      <alignment readingOrder="0" shrinkToFit="0" vertical="bottom" wrapText="0"/>
    </xf>
    <xf borderId="20" fillId="0" fontId="6" numFmtId="0" xfId="0" applyAlignment="1" applyBorder="1" applyFont="1">
      <alignment horizontal="center" shrinkToFit="0" wrapText="0"/>
    </xf>
    <xf borderId="20" fillId="0" fontId="6" numFmtId="0" xfId="0" applyAlignment="1" applyBorder="1" applyFont="1">
      <alignment horizontal="center" readingOrder="0" shrinkToFit="0" wrapText="0"/>
    </xf>
    <xf borderId="0" fillId="8" fontId="11" numFmtId="0" xfId="0" applyAlignment="1" applyFill="1" applyFont="1">
      <alignment shrinkToFit="0" vertical="bottom" wrapText="0"/>
    </xf>
    <xf borderId="0" fillId="8" fontId="11" numFmtId="0" xfId="0" applyAlignment="1" applyFont="1">
      <alignment horizontal="center" shrinkToFit="0" vertical="bottom" wrapText="0"/>
    </xf>
    <xf borderId="0" fillId="2" fontId="7" numFmtId="0" xfId="0" applyAlignment="1" applyFont="1">
      <alignment vertical="bottom"/>
    </xf>
    <xf borderId="0" fillId="2" fontId="7" numFmtId="0" xfId="0" applyAlignment="1" applyFont="1">
      <alignment horizontal="center" vertical="bottom"/>
    </xf>
    <xf borderId="0" fillId="8" fontId="7" numFmtId="0" xfId="0" applyAlignment="1" applyFont="1">
      <alignment vertical="bottom"/>
    </xf>
    <xf borderId="0" fillId="8" fontId="7" numFmtId="0" xfId="0" applyAlignment="1" applyFont="1">
      <alignment horizontal="center" vertical="bottom"/>
    </xf>
    <xf borderId="14" fillId="0" fontId="1" numFmtId="0" xfId="0" applyAlignment="1" applyBorder="1" applyFont="1">
      <alignment horizontal="center" shrinkToFit="0" wrapText="0"/>
    </xf>
    <xf borderId="15" fillId="8" fontId="7" numFmtId="0" xfId="0" applyAlignment="1" applyBorder="1" applyFont="1">
      <alignment vertical="bottom"/>
    </xf>
    <xf borderId="15" fillId="2" fontId="7" numFmtId="0" xfId="0" applyAlignment="1" applyBorder="1" applyFont="1">
      <alignment vertical="bottom"/>
    </xf>
    <xf borderId="15" fillId="8" fontId="7" numFmtId="0" xfId="0" applyAlignment="1" applyBorder="1" applyFont="1">
      <alignment vertical="bottom"/>
    </xf>
    <xf borderId="15" fillId="8" fontId="7" numFmtId="0" xfId="0" applyAlignment="1" applyBorder="1" applyFont="1">
      <alignment readingOrder="0" vertical="bottom"/>
    </xf>
    <xf borderId="15" fillId="0" fontId="12" numFmtId="0" xfId="0" applyBorder="1" applyFont="1"/>
    <xf borderId="15" fillId="0" fontId="5" numFmtId="0" xfId="0" applyBorder="1" applyFont="1"/>
    <xf borderId="15" fillId="2" fontId="5" numFmtId="0" xfId="0" applyAlignment="1" applyBorder="1" applyFont="1">
      <alignment horizontal="center" readingOrder="0"/>
    </xf>
    <xf borderId="15" fillId="0" fontId="5" numFmtId="0" xfId="0" applyAlignment="1" applyBorder="1" applyFont="1">
      <alignment horizontal="center"/>
    </xf>
    <xf borderId="15" fillId="2" fontId="5" numFmtId="0" xfId="0" applyAlignment="1" applyBorder="1" applyFont="1">
      <alignment horizontal="center"/>
    </xf>
    <xf borderId="15" fillId="0" fontId="5" numFmtId="0" xfId="0" applyAlignment="1" applyBorder="1" applyFont="1">
      <alignment readingOrder="0"/>
    </xf>
    <xf borderId="15" fillId="0" fontId="5" numFmtId="0" xfId="0" applyAlignment="1" applyBorder="1" applyFont="1">
      <alignment horizontal="center" readingOrder="0"/>
    </xf>
    <xf borderId="0" fillId="2" fontId="7" numFmtId="0" xfId="0" applyAlignment="1" applyFont="1">
      <alignment horizontal="right" vertical="bottom"/>
    </xf>
    <xf quotePrefix="1" borderId="0" fillId="2" fontId="7" numFmtId="0" xfId="0" applyAlignment="1" applyFont="1">
      <alignment horizontal="center" vertical="bottom"/>
    </xf>
    <xf borderId="15" fillId="2" fontId="7" numFmtId="0" xfId="0" applyAlignment="1" applyBorder="1" applyFont="1">
      <alignment readingOrder="0" vertical="bottom"/>
    </xf>
    <xf borderId="0" fillId="2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center" shrinkToFit="0" vertical="bottom" wrapText="0"/>
    </xf>
    <xf borderId="16" fillId="0" fontId="5" numFmtId="0" xfId="0" applyBorder="1" applyFont="1"/>
    <xf borderId="32" fillId="0" fontId="5" numFmtId="0" xfId="0" applyBorder="1" applyFont="1"/>
    <xf borderId="2" fillId="0" fontId="5" numFmtId="0" xfId="0" applyBorder="1" applyFont="1"/>
    <xf borderId="2" fillId="0" fontId="5" numFmtId="0" xfId="0" applyAlignment="1" applyBorder="1" applyFont="1">
      <alignment horizontal="center"/>
    </xf>
    <xf borderId="0" fillId="0" fontId="12" numFmtId="0" xfId="0" applyFont="1"/>
    <xf borderId="0" fillId="2" fontId="5" numFmtId="0" xfId="0" applyAlignment="1" applyFont="1">
      <alignment horizontal="center"/>
    </xf>
    <xf borderId="0" fillId="0" fontId="5" numFmtId="0" xfId="0" applyAlignment="1" applyFont="1">
      <alignment horizontal="center"/>
    </xf>
    <xf borderId="1" fillId="0" fontId="5" numFmtId="0" xfId="0" applyBorder="1" applyFont="1"/>
    <xf borderId="0" fillId="0" fontId="13" numFmtId="0" xfId="0" applyFont="1"/>
    <xf borderId="0" fillId="0" fontId="14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15" fillId="0" fontId="1" numFmtId="0" xfId="0" applyAlignment="1" applyBorder="1" applyFont="1">
      <alignment horizontal="center" readingOrder="0" shrinkToFit="0" wrapText="1"/>
    </xf>
    <xf borderId="3" fillId="0" fontId="15" numFmtId="0" xfId="0" applyAlignment="1" applyBorder="1" applyFont="1">
      <alignment horizontal="center" readingOrder="0" shrinkToFit="0" wrapText="0"/>
    </xf>
    <xf borderId="3" fillId="0" fontId="4" numFmtId="0" xfId="0" applyAlignment="1" applyBorder="1" applyFont="1">
      <alignment horizontal="center" readingOrder="0" shrinkToFit="0" wrapText="0"/>
    </xf>
    <xf borderId="33" fillId="0" fontId="4" numFmtId="0" xfId="0" applyAlignment="1" applyBorder="1" applyFont="1">
      <alignment horizontal="center" readingOrder="0" shrinkToFit="0" wrapText="0"/>
    </xf>
    <xf borderId="6" fillId="4" fontId="16" numFmtId="0" xfId="0" applyAlignment="1" applyBorder="1" applyFont="1">
      <alignment horizontal="center" readingOrder="0" shrinkToFit="0" wrapText="0"/>
    </xf>
    <xf borderId="6" fillId="4" fontId="14" numFmtId="0" xfId="0" applyAlignment="1" applyBorder="1" applyFont="1">
      <alignment horizontal="center" readingOrder="0" shrinkToFit="0" wrapText="0"/>
    </xf>
    <xf borderId="6" fillId="0" fontId="16" numFmtId="0" xfId="0" applyAlignment="1" applyBorder="1" applyFont="1">
      <alignment horizontal="center" readingOrder="0" shrinkToFit="0" wrapText="0"/>
    </xf>
    <xf borderId="5" fillId="0" fontId="16" numFmtId="0" xfId="0" applyAlignment="1" applyBorder="1" applyFont="1">
      <alignment horizontal="center" readingOrder="0" shrinkToFit="0" wrapText="0"/>
    </xf>
    <xf borderId="29" fillId="3" fontId="8" numFmtId="4" xfId="0" applyAlignment="1" applyBorder="1" applyFont="1" applyNumberFormat="1">
      <alignment horizontal="center" readingOrder="0" shrinkToFit="0" wrapText="0"/>
    </xf>
    <xf borderId="15" fillId="0" fontId="6" numFmtId="0" xfId="0" applyAlignment="1" applyBorder="1" applyFont="1">
      <alignment horizontal="center" readingOrder="0" shrinkToFit="0" vertical="bottom" wrapText="0"/>
    </xf>
    <xf borderId="6" fillId="0" fontId="16" numFmtId="0" xfId="0" applyAlignment="1" applyBorder="1" applyFont="1">
      <alignment horizontal="center" shrinkToFit="0" wrapText="0"/>
    </xf>
    <xf borderId="13" fillId="0" fontId="16" numFmtId="0" xfId="0" applyAlignment="1" applyBorder="1" applyFont="1">
      <alignment horizontal="center" shrinkToFit="0" wrapText="0"/>
    </xf>
    <xf borderId="14" fillId="0" fontId="16" numFmtId="0" xfId="0" applyAlignment="1" applyBorder="1" applyFont="1">
      <alignment horizontal="center" shrinkToFit="0" wrapText="0"/>
    </xf>
    <xf borderId="0" fillId="0" fontId="17" numFmtId="0" xfId="0" applyAlignment="1" applyFont="1">
      <alignment horizontal="center" shrinkToFit="0" wrapText="0"/>
    </xf>
    <xf borderId="29" fillId="5" fontId="9" numFmtId="4" xfId="0" applyAlignment="1" applyBorder="1" applyFont="1" applyNumberFormat="1">
      <alignment horizontal="center" readingOrder="0" shrinkToFit="0" wrapText="0"/>
    </xf>
    <xf borderId="6" fillId="0" fontId="1" numFmtId="0" xfId="0" applyAlignment="1" applyBorder="1" applyFont="1">
      <alignment readingOrder="0" shrinkToFit="0" vertical="bottom" wrapText="0"/>
    </xf>
    <xf borderId="6" fillId="6" fontId="16" numFmtId="0" xfId="0" applyAlignment="1" applyBorder="1" applyFont="1">
      <alignment horizontal="center" readingOrder="0" shrinkToFit="0" wrapText="0"/>
    </xf>
    <xf borderId="17" fillId="0" fontId="16" numFmtId="0" xfId="0" applyAlignment="1" applyBorder="1" applyFont="1">
      <alignment horizontal="center" shrinkToFit="0" wrapText="0"/>
    </xf>
    <xf borderId="14" fillId="0" fontId="16" numFmtId="0" xfId="0" applyAlignment="1" applyBorder="1" applyFont="1">
      <alignment horizontal="center" readingOrder="0" shrinkToFit="0" wrapText="0"/>
    </xf>
    <xf borderId="14" fillId="0" fontId="16" numFmtId="0" xfId="0" applyAlignment="1" applyBorder="1" applyFont="1">
      <alignment horizontal="center" shrinkToFit="0" wrapText="0"/>
    </xf>
    <xf borderId="14" fillId="6" fontId="16" numFmtId="0" xfId="0" applyAlignment="1" applyBorder="1" applyFont="1">
      <alignment horizontal="center" readingOrder="0" shrinkToFit="0" wrapText="0"/>
    </xf>
    <xf borderId="5" fillId="4" fontId="16" numFmtId="0" xfId="0" applyAlignment="1" applyBorder="1" applyFont="1">
      <alignment horizontal="center" readingOrder="0" shrinkToFit="0" wrapText="0"/>
    </xf>
    <xf borderId="13" fillId="0" fontId="16" numFmtId="0" xfId="0" applyAlignment="1" applyBorder="1" applyFont="1">
      <alignment horizontal="center" readingOrder="0" shrinkToFit="0" wrapText="0"/>
    </xf>
    <xf borderId="6" fillId="0" fontId="16" numFmtId="0" xfId="0" applyAlignment="1" applyBorder="1" applyFont="1">
      <alignment horizontal="center" shrinkToFit="0" wrapText="0"/>
    </xf>
    <xf borderId="7" fillId="0" fontId="16" numFmtId="0" xfId="0" applyAlignment="1" applyBorder="1" applyFont="1">
      <alignment horizontal="center" readingOrder="0" shrinkToFit="0" wrapText="0"/>
    </xf>
    <xf borderId="7" fillId="0" fontId="16" numFmtId="0" xfId="0" applyAlignment="1" applyBorder="1" applyFont="1">
      <alignment horizontal="center" shrinkToFit="0" wrapText="0"/>
    </xf>
    <xf borderId="25" fillId="0" fontId="16" numFmtId="0" xfId="0" applyAlignment="1" applyBorder="1" applyFont="1">
      <alignment horizontal="center" shrinkToFit="0" wrapText="0"/>
    </xf>
    <xf borderId="7" fillId="0" fontId="16" numFmtId="0" xfId="0" applyAlignment="1" applyBorder="1" applyFont="1">
      <alignment horizontal="center" shrinkToFit="0" wrapText="0"/>
    </xf>
    <xf borderId="5" fillId="0" fontId="16" numFmtId="0" xfId="0" applyAlignment="1" applyBorder="1" applyFont="1">
      <alignment horizontal="center" shrinkToFit="0" wrapText="0"/>
    </xf>
    <xf borderId="5" fillId="6" fontId="16" numFmtId="0" xfId="0" applyAlignment="1" applyBorder="1" applyFont="1">
      <alignment horizontal="center" readingOrder="0" shrinkToFit="0" wrapText="0"/>
    </xf>
    <xf borderId="34" fillId="0" fontId="6" numFmtId="0" xfId="0" applyAlignment="1" applyBorder="1" applyFont="1">
      <alignment readingOrder="0" shrinkToFit="0" vertical="bottom" wrapText="0"/>
    </xf>
    <xf borderId="14" fillId="0" fontId="15" numFmtId="0" xfId="0" applyAlignment="1" applyBorder="1" applyFont="1">
      <alignment horizontal="center" readingOrder="0" shrinkToFit="0" wrapText="0"/>
    </xf>
    <xf borderId="14" fillId="0" fontId="15" numFmtId="0" xfId="0" applyAlignment="1" applyBorder="1" applyFont="1">
      <alignment horizontal="center" shrinkToFit="0" wrapText="0"/>
    </xf>
    <xf borderId="7" fillId="0" fontId="6" numFmtId="0" xfId="0" applyAlignment="1" applyBorder="1" applyFont="1">
      <alignment readingOrder="0" shrinkToFit="0" vertical="bottom" wrapText="0"/>
    </xf>
    <xf borderId="20" fillId="0" fontId="16" numFmtId="0" xfId="0" applyAlignment="1" applyBorder="1" applyFont="1">
      <alignment horizontal="center" shrinkToFit="0" wrapText="0"/>
    </xf>
    <xf borderId="20" fillId="0" fontId="16" numFmtId="0" xfId="0" applyAlignment="1" applyBorder="1" applyFont="1">
      <alignment horizontal="center" readingOrder="0" shrinkToFit="0" wrapText="0"/>
    </xf>
    <xf borderId="14" fillId="0" fontId="14" numFmtId="0" xfId="0" applyAlignment="1" applyBorder="1" applyFont="1">
      <alignment horizontal="center" shrinkToFit="0" wrapText="0"/>
    </xf>
    <xf borderId="15" fillId="0" fontId="18" numFmtId="0" xfId="0" applyBorder="1" applyFont="1"/>
    <xf borderId="0" fillId="0" fontId="18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2" type="firstRowStripe"/>
      <tableStyleElement dxfId="1" type="secondRowStripe"/>
    </tableStyle>
    <tableStyle count="2" pivot="0" name="Copy of Sheet1-style">
      <tableStyleElement dxfId="1" type="firstRowStripe"/>
      <tableStyleElement dxfId="2" type="secondRowStripe"/>
    </tableStyle>
    <tableStyle count="2" pivot="0" name="Copy of Sheet1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82:G87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B88:G139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B82:B87" displayName="Table_3" name="Table_3" id="3">
  <tableColumns count="1">
    <tableColumn name="Column1" id="1"/>
  </tableColumns>
  <tableStyleInfo name="Copy of Sheet1-style" showColumnStripes="0" showFirstColumn="1" showLastColumn="1" showRowStripes="1"/>
</table>
</file>

<file path=xl/tables/table4.xml><?xml version="1.0" encoding="utf-8"?>
<table xmlns="http://schemas.openxmlformats.org/spreadsheetml/2006/main" headerRowCount="0" ref="B88:B134" displayName="Table_4" name="Table_4" id="4">
  <tableColumns count="1">
    <tableColumn name="Column1" id="1"/>
  </tableColumns>
  <tableStyleInfo name="Copy of 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25"/>
    <col customWidth="1" min="2" max="2" width="18.88"/>
    <col customWidth="1" min="3" max="14" width="6.88"/>
    <col customWidth="1" min="15" max="35" width="6.13"/>
    <col customWidth="1" min="40" max="40" width="15.25"/>
  </cols>
  <sheetData>
    <row r="1" ht="28.5" customHeight="1">
      <c r="A1" s="1" t="s">
        <v>0</v>
      </c>
      <c r="B1" s="1" t="s">
        <v>1</v>
      </c>
      <c r="C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2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3" t="s">
        <v>31</v>
      </c>
      <c r="AK1" s="4" t="s">
        <v>32</v>
      </c>
      <c r="AL1" s="5" t="s">
        <v>33</v>
      </c>
      <c r="AM1" s="6"/>
      <c r="AN1" s="6"/>
      <c r="AO1" s="6"/>
    </row>
    <row r="2">
      <c r="A2" s="7"/>
      <c r="B2" s="7"/>
      <c r="C2" s="8" t="s">
        <v>34</v>
      </c>
      <c r="D2" s="8" t="s">
        <v>35</v>
      </c>
      <c r="E2" s="8" t="s">
        <v>36</v>
      </c>
      <c r="F2" s="8" t="s">
        <v>37</v>
      </c>
      <c r="G2" s="8" t="s">
        <v>38</v>
      </c>
      <c r="H2" s="9">
        <v>36.0</v>
      </c>
      <c r="I2" s="9">
        <f t="shared" ref="I2:U2" si="1">COUNTA(I3:I1001)</f>
        <v>28</v>
      </c>
      <c r="J2" s="9">
        <f t="shared" si="1"/>
        <v>19</v>
      </c>
      <c r="K2" s="9">
        <f t="shared" si="1"/>
        <v>10</v>
      </c>
      <c r="L2" s="9">
        <f t="shared" si="1"/>
        <v>18</v>
      </c>
      <c r="M2" s="9">
        <f t="shared" si="1"/>
        <v>24</v>
      </c>
      <c r="N2" s="9">
        <f t="shared" si="1"/>
        <v>12</v>
      </c>
      <c r="O2" s="9">
        <f t="shared" si="1"/>
        <v>26</v>
      </c>
      <c r="P2" s="9">
        <f t="shared" si="1"/>
        <v>32</v>
      </c>
      <c r="Q2" s="9">
        <f t="shared" si="1"/>
        <v>21</v>
      </c>
      <c r="R2" s="9">
        <f t="shared" si="1"/>
        <v>23</v>
      </c>
      <c r="S2" s="9">
        <f t="shared" si="1"/>
        <v>17</v>
      </c>
      <c r="T2" s="9">
        <f t="shared" si="1"/>
        <v>21</v>
      </c>
      <c r="U2" s="10">
        <f t="shared" si="1"/>
        <v>55</v>
      </c>
      <c r="V2" s="9">
        <v>18.0</v>
      </c>
      <c r="W2" s="9">
        <f t="shared" ref="W2:AI2" si="2">COUNTA(W3:W1001)</f>
        <v>10</v>
      </c>
      <c r="X2" s="9">
        <f t="shared" si="2"/>
        <v>19</v>
      </c>
      <c r="Y2" s="9">
        <f t="shared" si="2"/>
        <v>29</v>
      </c>
      <c r="Z2" s="9">
        <f t="shared" si="2"/>
        <v>33</v>
      </c>
      <c r="AA2" s="9">
        <f t="shared" si="2"/>
        <v>24</v>
      </c>
      <c r="AB2" s="9">
        <f t="shared" si="2"/>
        <v>18</v>
      </c>
      <c r="AC2" s="9">
        <f t="shared" si="2"/>
        <v>23</v>
      </c>
      <c r="AD2" s="9">
        <f t="shared" si="2"/>
        <v>8</v>
      </c>
      <c r="AE2" s="9">
        <f t="shared" si="2"/>
        <v>14</v>
      </c>
      <c r="AF2" s="9">
        <f t="shared" si="2"/>
        <v>20</v>
      </c>
      <c r="AG2" s="9">
        <f t="shared" si="2"/>
        <v>21</v>
      </c>
      <c r="AH2" s="9">
        <f t="shared" si="2"/>
        <v>21</v>
      </c>
      <c r="AI2" s="9">
        <f t="shared" si="2"/>
        <v>0</v>
      </c>
      <c r="AJ2" s="11">
        <v>70.0</v>
      </c>
      <c r="AK2" s="11" t="s">
        <v>39</v>
      </c>
      <c r="AL2" s="11">
        <v>24.0</v>
      </c>
      <c r="AM2" s="12"/>
      <c r="AN2" s="12"/>
      <c r="AO2" s="12"/>
      <c r="AP2" s="13"/>
      <c r="AQ2" s="13"/>
      <c r="AR2" s="13"/>
      <c r="AS2" s="13"/>
      <c r="AT2" s="13"/>
      <c r="AU2" s="13"/>
      <c r="AV2" s="13"/>
    </row>
    <row r="3">
      <c r="A3" s="14">
        <v>1.0</v>
      </c>
      <c r="B3" s="15" t="s">
        <v>40</v>
      </c>
      <c r="C3" s="16" t="s">
        <v>41</v>
      </c>
      <c r="D3" s="16" t="s">
        <v>42</v>
      </c>
      <c r="E3" s="17">
        <v>9.880141543E9</v>
      </c>
      <c r="F3" s="17" t="s">
        <v>43</v>
      </c>
      <c r="G3" s="17">
        <v>8.088612661E9</v>
      </c>
      <c r="H3" s="18">
        <v>7.5</v>
      </c>
      <c r="I3" s="19">
        <v>10.0</v>
      </c>
      <c r="J3" s="20">
        <v>5.0</v>
      </c>
      <c r="K3" s="20">
        <v>10.0</v>
      </c>
      <c r="L3" s="20"/>
      <c r="M3" s="18">
        <v>7.5</v>
      </c>
      <c r="N3" s="18">
        <v>7.5</v>
      </c>
      <c r="O3" s="14">
        <v>5.0</v>
      </c>
      <c r="P3" s="18">
        <v>7.5</v>
      </c>
      <c r="Q3" s="18">
        <v>7.5</v>
      </c>
      <c r="R3" s="18">
        <v>7.5</v>
      </c>
      <c r="S3" s="18">
        <v>7.5</v>
      </c>
      <c r="T3" s="20">
        <v>5.0</v>
      </c>
      <c r="U3" s="20">
        <v>5.0</v>
      </c>
      <c r="V3" s="18">
        <v>2.5</v>
      </c>
      <c r="W3" s="20">
        <v>10.0</v>
      </c>
      <c r="X3" s="20">
        <v>5.0</v>
      </c>
      <c r="Y3" s="18">
        <v>7.5</v>
      </c>
      <c r="Z3" s="18">
        <v>7.5</v>
      </c>
      <c r="AA3" s="20">
        <v>5.0</v>
      </c>
      <c r="AB3" s="18">
        <v>7.5</v>
      </c>
      <c r="AC3" s="21">
        <v>5.0</v>
      </c>
      <c r="AD3" s="22">
        <v>10.0</v>
      </c>
      <c r="AE3" s="23">
        <v>5.0</v>
      </c>
      <c r="AF3" s="18">
        <v>7.5</v>
      </c>
      <c r="AG3" s="18">
        <v>7.5</v>
      </c>
      <c r="AH3" s="18">
        <v>7.5</v>
      </c>
      <c r="AI3" s="24"/>
      <c r="AJ3" s="25">
        <f t="shared" ref="AJ3:AJ137" si="3">sum(R3:AE3)</f>
        <v>90</v>
      </c>
      <c r="AK3" s="26">
        <f t="shared" ref="AK3:AK137" si="4">AJ3/70%</f>
        <v>128.5714286</v>
      </c>
      <c r="AL3" s="27">
        <f t="shared" ref="AL3:AL137" si="5">COUNTIFS(H3:AE3, "&gt;=5")</f>
        <v>22</v>
      </c>
      <c r="AM3" s="28"/>
      <c r="AN3" s="28"/>
      <c r="AO3" s="28"/>
    </row>
    <row r="4">
      <c r="A4" s="29">
        <v>2.0</v>
      </c>
      <c r="B4" s="30" t="s">
        <v>44</v>
      </c>
      <c r="C4" s="16" t="s">
        <v>45</v>
      </c>
      <c r="D4" s="16" t="s">
        <v>46</v>
      </c>
      <c r="E4" s="17">
        <v>9.900572747E9</v>
      </c>
      <c r="F4" s="17" t="s">
        <v>47</v>
      </c>
      <c r="G4" s="17">
        <v>9.845719196E9</v>
      </c>
      <c r="H4" s="20">
        <v>5.0</v>
      </c>
      <c r="I4" s="20">
        <v>5.0</v>
      </c>
      <c r="J4" s="20">
        <v>5.0</v>
      </c>
      <c r="K4" s="20">
        <v>10.0</v>
      </c>
      <c r="L4" s="31"/>
      <c r="M4" s="31"/>
      <c r="N4" s="31"/>
      <c r="O4" s="32"/>
      <c r="P4" s="33"/>
      <c r="Q4" s="34"/>
      <c r="R4" s="35"/>
      <c r="S4" s="35"/>
      <c r="T4" s="35"/>
      <c r="U4" s="36"/>
      <c r="V4" s="35"/>
      <c r="W4" s="35"/>
      <c r="X4" s="35"/>
      <c r="Y4" s="35"/>
      <c r="Z4" s="35"/>
      <c r="AA4" s="35"/>
      <c r="AB4" s="35"/>
      <c r="AC4" s="37"/>
      <c r="AD4" s="38"/>
      <c r="AE4" s="39"/>
      <c r="AF4" s="40"/>
      <c r="AG4" s="40"/>
      <c r="AH4" s="40"/>
      <c r="AI4" s="41"/>
      <c r="AJ4" s="25">
        <f t="shared" si="3"/>
        <v>0</v>
      </c>
      <c r="AK4" s="42">
        <f t="shared" si="4"/>
        <v>0</v>
      </c>
      <c r="AL4" s="27">
        <f t="shared" si="5"/>
        <v>4</v>
      </c>
      <c r="AM4" s="28"/>
      <c r="AN4" s="28"/>
      <c r="AO4" s="28"/>
    </row>
    <row r="5">
      <c r="A5" s="14">
        <v>3.0</v>
      </c>
      <c r="B5" s="43" t="s">
        <v>48</v>
      </c>
      <c r="C5" s="16" t="s">
        <v>49</v>
      </c>
      <c r="D5" s="16" t="s">
        <v>50</v>
      </c>
      <c r="E5" s="17">
        <v>9.916822763E9</v>
      </c>
      <c r="F5" s="17" t="s">
        <v>51</v>
      </c>
      <c r="G5" s="17">
        <v>9.00837041E9</v>
      </c>
      <c r="H5" s="44">
        <v>7.5</v>
      </c>
      <c r="I5" s="20">
        <v>5.0</v>
      </c>
      <c r="J5" s="18">
        <v>7.5</v>
      </c>
      <c r="K5" s="31"/>
      <c r="L5" s="44">
        <v>7.5</v>
      </c>
      <c r="M5" s="20">
        <v>5.0</v>
      </c>
      <c r="N5" s="20">
        <v>5.0</v>
      </c>
      <c r="O5" s="14">
        <v>5.0</v>
      </c>
      <c r="P5" s="20">
        <v>5.0</v>
      </c>
      <c r="Q5" s="45"/>
      <c r="R5" s="20"/>
      <c r="S5" s="20"/>
      <c r="T5" s="20">
        <v>5.0</v>
      </c>
      <c r="U5" s="36">
        <v>5.0</v>
      </c>
      <c r="V5" s="35"/>
      <c r="W5" s="35"/>
      <c r="X5" s="35"/>
      <c r="Y5" s="35">
        <v>5.0</v>
      </c>
      <c r="Z5" s="35">
        <v>5.0</v>
      </c>
      <c r="AA5" s="35">
        <v>5.0</v>
      </c>
      <c r="AB5" s="35"/>
      <c r="AC5" s="35">
        <v>5.0</v>
      </c>
      <c r="AD5" s="35"/>
      <c r="AE5" s="46"/>
      <c r="AF5" s="40">
        <v>5.0</v>
      </c>
      <c r="AG5" s="40"/>
      <c r="AH5" s="40">
        <v>5.0</v>
      </c>
      <c r="AI5" s="41"/>
      <c r="AJ5" s="25">
        <f t="shared" si="3"/>
        <v>30</v>
      </c>
      <c r="AK5" s="42">
        <f t="shared" si="4"/>
        <v>42.85714286</v>
      </c>
      <c r="AL5" s="27">
        <f t="shared" si="5"/>
        <v>14</v>
      </c>
      <c r="AM5" s="28"/>
      <c r="AN5" s="28"/>
      <c r="AO5" s="28"/>
    </row>
    <row r="6">
      <c r="A6" s="29">
        <v>4.0</v>
      </c>
      <c r="B6" s="30" t="s">
        <v>52</v>
      </c>
      <c r="C6" s="16" t="s">
        <v>53</v>
      </c>
      <c r="D6" s="16" t="s">
        <v>54</v>
      </c>
      <c r="E6" s="17">
        <v>9.902949152E9</v>
      </c>
      <c r="F6" s="17" t="s">
        <v>55</v>
      </c>
      <c r="G6" s="17">
        <v>9.345174285E9</v>
      </c>
      <c r="H6" s="20">
        <v>5.0</v>
      </c>
      <c r="I6" s="20">
        <v>5.0</v>
      </c>
      <c r="J6" s="20">
        <v>5.0</v>
      </c>
      <c r="K6" s="31"/>
      <c r="L6" s="18">
        <v>7.5</v>
      </c>
      <c r="M6" s="31"/>
      <c r="N6" s="31"/>
      <c r="O6" s="32"/>
      <c r="P6" s="33"/>
      <c r="Q6" s="33"/>
      <c r="R6" s="35"/>
      <c r="S6" s="35"/>
      <c r="T6" s="38"/>
      <c r="U6" s="36"/>
      <c r="V6" s="35"/>
      <c r="W6" s="35"/>
      <c r="X6" s="35"/>
      <c r="Y6" s="35"/>
      <c r="Z6" s="35"/>
      <c r="AA6" s="35"/>
      <c r="AB6" s="35"/>
      <c r="AC6" s="35"/>
      <c r="AD6" s="35"/>
      <c r="AE6" s="46"/>
      <c r="AF6" s="40"/>
      <c r="AG6" s="40"/>
      <c r="AH6" s="40"/>
      <c r="AI6" s="41"/>
      <c r="AJ6" s="25">
        <f t="shared" si="3"/>
        <v>0</v>
      </c>
      <c r="AK6" s="42">
        <f t="shared" si="4"/>
        <v>0</v>
      </c>
      <c r="AL6" s="27">
        <f t="shared" si="5"/>
        <v>4</v>
      </c>
      <c r="AM6" s="28"/>
      <c r="AN6" s="28"/>
      <c r="AO6" s="28"/>
    </row>
    <row r="7">
      <c r="A7" s="47">
        <v>5.0</v>
      </c>
      <c r="B7" s="48" t="s">
        <v>56</v>
      </c>
      <c r="C7" s="16" t="s">
        <v>57</v>
      </c>
      <c r="D7" s="16" t="s">
        <v>58</v>
      </c>
      <c r="E7" s="17">
        <v>9.986107438E9</v>
      </c>
      <c r="F7" s="17" t="s">
        <v>59</v>
      </c>
      <c r="G7" s="17">
        <v>7.022072496E9</v>
      </c>
      <c r="H7" s="38">
        <v>5.0</v>
      </c>
      <c r="I7" s="49"/>
      <c r="J7" s="38">
        <v>5.0</v>
      </c>
      <c r="K7" s="49"/>
      <c r="L7" s="38">
        <v>5.0</v>
      </c>
      <c r="M7" s="38">
        <v>5.0</v>
      </c>
      <c r="N7" s="50">
        <v>7.5</v>
      </c>
      <c r="O7" s="51">
        <v>7.5</v>
      </c>
      <c r="P7" s="20">
        <v>5.0</v>
      </c>
      <c r="Q7" s="20">
        <v>5.0</v>
      </c>
      <c r="R7" s="45"/>
      <c r="S7" s="20"/>
      <c r="T7" s="20"/>
      <c r="U7" s="36">
        <v>5.0</v>
      </c>
      <c r="V7" s="35"/>
      <c r="W7" s="35">
        <v>10.0</v>
      </c>
      <c r="X7" s="35"/>
      <c r="Y7" s="52"/>
      <c r="Z7" s="52"/>
      <c r="AA7" s="52"/>
      <c r="AB7" s="35"/>
      <c r="AC7" s="35"/>
      <c r="AD7" s="35">
        <v>10.0</v>
      </c>
      <c r="AE7" s="46"/>
      <c r="AF7" s="40"/>
      <c r="AG7" s="40"/>
      <c r="AH7" s="40"/>
      <c r="AI7" s="41"/>
      <c r="AJ7" s="25">
        <f t="shared" si="3"/>
        <v>25</v>
      </c>
      <c r="AK7" s="42">
        <f t="shared" si="4"/>
        <v>35.71428571</v>
      </c>
      <c r="AL7" s="27">
        <f t="shared" si="5"/>
        <v>11</v>
      </c>
      <c r="AM7" s="53">
        <f>70*75%</f>
        <v>52.5</v>
      </c>
      <c r="AN7" s="54" t="s">
        <v>60</v>
      </c>
      <c r="AO7" s="28"/>
    </row>
    <row r="8">
      <c r="A8" s="14">
        <v>6.0</v>
      </c>
      <c r="B8" s="15" t="s">
        <v>61</v>
      </c>
      <c r="C8" s="16" t="s">
        <v>62</v>
      </c>
      <c r="D8" s="16" t="s">
        <v>63</v>
      </c>
      <c r="E8" s="17">
        <v>8.884829993E9</v>
      </c>
      <c r="F8" s="17" t="s">
        <v>64</v>
      </c>
      <c r="G8" s="17">
        <v>8.105191122E9</v>
      </c>
      <c r="H8" s="38">
        <v>5.0</v>
      </c>
      <c r="I8" s="38">
        <v>5.0</v>
      </c>
      <c r="J8" s="38">
        <v>5.0</v>
      </c>
      <c r="K8" s="49"/>
      <c r="L8" s="38">
        <v>5.0</v>
      </c>
      <c r="M8" s="49"/>
      <c r="N8" s="49"/>
      <c r="O8" s="37">
        <v>5.0</v>
      </c>
      <c r="P8" s="38">
        <v>5.0</v>
      </c>
      <c r="Q8" s="38">
        <v>5.0</v>
      </c>
      <c r="R8" s="35">
        <v>5.0</v>
      </c>
      <c r="S8" s="35">
        <v>5.0</v>
      </c>
      <c r="T8" s="38">
        <v>5.0</v>
      </c>
      <c r="U8" s="55">
        <v>5.0</v>
      </c>
      <c r="V8" s="44">
        <v>7.5</v>
      </c>
      <c r="W8" s="20">
        <v>10.0</v>
      </c>
      <c r="X8" s="20"/>
      <c r="Y8" s="55">
        <v>5.0</v>
      </c>
      <c r="Z8" s="20"/>
      <c r="AA8" s="18">
        <v>7.5</v>
      </c>
      <c r="AB8" s="56">
        <v>5.0</v>
      </c>
      <c r="AC8" s="57">
        <v>7.5</v>
      </c>
      <c r="AD8" s="56"/>
      <c r="AE8" s="58">
        <v>7.5</v>
      </c>
      <c r="AF8" s="40">
        <v>5.0</v>
      </c>
      <c r="AG8" s="40">
        <v>5.0</v>
      </c>
      <c r="AH8" s="40">
        <v>5.0</v>
      </c>
      <c r="AI8" s="41"/>
      <c r="AJ8" s="25">
        <f t="shared" si="3"/>
        <v>70</v>
      </c>
      <c r="AK8" s="26">
        <f t="shared" si="4"/>
        <v>100</v>
      </c>
      <c r="AL8" s="27">
        <f t="shared" si="5"/>
        <v>18</v>
      </c>
      <c r="AM8" s="59">
        <v>10.0</v>
      </c>
      <c r="AN8" s="59" t="s">
        <v>65</v>
      </c>
      <c r="AO8" s="28"/>
    </row>
    <row r="9">
      <c r="A9" s="37">
        <v>7.0</v>
      </c>
      <c r="B9" s="60" t="s">
        <v>66</v>
      </c>
      <c r="C9" s="16" t="s">
        <v>67</v>
      </c>
      <c r="D9" s="16" t="s">
        <v>68</v>
      </c>
      <c r="E9" s="17">
        <v>9.880990088E9</v>
      </c>
      <c r="F9" s="17" t="s">
        <v>69</v>
      </c>
      <c r="G9" s="17">
        <v>9.535980451E9</v>
      </c>
      <c r="H9" s="38">
        <v>5.0</v>
      </c>
      <c r="I9" s="49"/>
      <c r="J9" s="49"/>
      <c r="K9" s="49"/>
      <c r="L9" s="38">
        <v>5.0</v>
      </c>
      <c r="M9" s="49"/>
      <c r="N9" s="49"/>
      <c r="O9" s="32"/>
      <c r="P9" s="33"/>
      <c r="Q9" s="33"/>
      <c r="R9" s="35">
        <v>5.0</v>
      </c>
      <c r="S9" s="35"/>
      <c r="T9" s="38"/>
      <c r="U9" s="36"/>
      <c r="V9" s="35"/>
      <c r="W9" s="35"/>
      <c r="X9" s="35"/>
      <c r="Y9" s="35"/>
      <c r="Z9" s="35">
        <v>5.0</v>
      </c>
      <c r="AA9" s="35">
        <v>5.0</v>
      </c>
      <c r="AB9" s="37"/>
      <c r="AC9" s="37">
        <v>5.0</v>
      </c>
      <c r="AD9" s="37"/>
      <c r="AE9" s="39"/>
      <c r="AF9" s="40"/>
      <c r="AG9" s="40"/>
      <c r="AH9" s="40"/>
      <c r="AI9" s="41"/>
      <c r="AJ9" s="25">
        <f t="shared" si="3"/>
        <v>20</v>
      </c>
      <c r="AK9" s="42">
        <f t="shared" si="4"/>
        <v>28.57142857</v>
      </c>
      <c r="AL9" s="27">
        <f t="shared" si="5"/>
        <v>6</v>
      </c>
      <c r="AM9" s="54">
        <v>5.0</v>
      </c>
      <c r="AN9" s="54" t="s">
        <v>70</v>
      </c>
      <c r="AO9" s="28"/>
    </row>
    <row r="10">
      <c r="A10" s="37">
        <v>8.0</v>
      </c>
      <c r="B10" s="60" t="s">
        <v>71</v>
      </c>
      <c r="C10" s="16" t="s">
        <v>72</v>
      </c>
      <c r="D10" s="16" t="s">
        <v>73</v>
      </c>
      <c r="E10" s="17">
        <v>9.986107538E9</v>
      </c>
      <c r="F10" s="17" t="s">
        <v>74</v>
      </c>
      <c r="G10" s="17">
        <v>9.986107438E9</v>
      </c>
      <c r="H10" s="38">
        <v>5.0</v>
      </c>
      <c r="I10" s="49"/>
      <c r="J10" s="49"/>
      <c r="K10" s="49"/>
      <c r="L10" s="38">
        <v>5.0</v>
      </c>
      <c r="M10" s="38">
        <v>5.0</v>
      </c>
      <c r="N10" s="38">
        <v>5.0</v>
      </c>
      <c r="O10" s="32"/>
      <c r="P10" s="38">
        <v>5.0</v>
      </c>
      <c r="Q10" s="38">
        <v>5.0</v>
      </c>
      <c r="R10" s="35"/>
      <c r="S10" s="35"/>
      <c r="T10" s="38"/>
      <c r="U10" s="36">
        <v>5.0</v>
      </c>
      <c r="V10" s="35"/>
      <c r="W10" s="35">
        <v>10.0</v>
      </c>
      <c r="X10" s="35"/>
      <c r="Y10" s="35"/>
      <c r="Z10" s="35"/>
      <c r="AA10" s="35"/>
      <c r="AB10" s="35"/>
      <c r="AC10" s="35"/>
      <c r="AD10" s="35">
        <v>10.0</v>
      </c>
      <c r="AE10" s="46"/>
      <c r="AF10" s="40"/>
      <c r="AG10" s="40"/>
      <c r="AH10" s="40"/>
      <c r="AI10" s="41"/>
      <c r="AJ10" s="25">
        <f t="shared" si="3"/>
        <v>25</v>
      </c>
      <c r="AK10" s="42">
        <f t="shared" si="4"/>
        <v>35.71428571</v>
      </c>
      <c r="AL10" s="27">
        <f t="shared" si="5"/>
        <v>9</v>
      </c>
      <c r="AM10" s="61" t="s">
        <v>75</v>
      </c>
      <c r="AN10" s="61" t="s">
        <v>76</v>
      </c>
      <c r="AO10" s="28"/>
    </row>
    <row r="11">
      <c r="A11" s="37">
        <v>9.0</v>
      </c>
      <c r="B11" s="60" t="s">
        <v>77</v>
      </c>
      <c r="C11" s="16" t="s">
        <v>78</v>
      </c>
      <c r="D11" s="16" t="s">
        <v>79</v>
      </c>
      <c r="E11" s="17">
        <v>8.095522001E9</v>
      </c>
      <c r="F11" s="17" t="s">
        <v>74</v>
      </c>
      <c r="G11" s="17">
        <v>8.995822001E9</v>
      </c>
      <c r="H11" s="38">
        <v>5.0</v>
      </c>
      <c r="I11" s="49"/>
      <c r="J11" s="49"/>
      <c r="K11" s="49"/>
      <c r="L11" s="49"/>
      <c r="M11" s="49"/>
      <c r="N11" s="49"/>
      <c r="O11" s="32"/>
      <c r="P11" s="33"/>
      <c r="Q11" s="33"/>
      <c r="R11" s="35"/>
      <c r="S11" s="35"/>
      <c r="T11" s="38"/>
      <c r="U11" s="36"/>
      <c r="V11" s="35"/>
      <c r="W11" s="35"/>
      <c r="X11" s="35"/>
      <c r="Y11" s="35"/>
      <c r="Z11" s="35"/>
      <c r="AA11" s="35"/>
      <c r="AB11" s="35"/>
      <c r="AC11" s="35"/>
      <c r="AD11" s="35"/>
      <c r="AE11" s="46"/>
      <c r="AF11" s="40"/>
      <c r="AG11" s="40"/>
      <c r="AH11" s="40"/>
      <c r="AI11" s="41"/>
      <c r="AJ11" s="25">
        <f t="shared" si="3"/>
        <v>0</v>
      </c>
      <c r="AK11" s="42">
        <f t="shared" si="4"/>
        <v>0</v>
      </c>
      <c r="AL11" s="27">
        <f t="shared" si="5"/>
        <v>1</v>
      </c>
      <c r="AM11" s="62" t="s">
        <v>80</v>
      </c>
      <c r="AN11" s="62" t="s">
        <v>81</v>
      </c>
      <c r="AO11" s="28"/>
    </row>
    <row r="12">
      <c r="A12" s="14">
        <v>10.0</v>
      </c>
      <c r="B12" s="15" t="s">
        <v>82</v>
      </c>
      <c r="C12" s="16" t="s">
        <v>83</v>
      </c>
      <c r="D12" s="16" t="s">
        <v>84</v>
      </c>
      <c r="E12" s="17">
        <v>9.886144331E9</v>
      </c>
      <c r="F12" s="17" t="s">
        <v>85</v>
      </c>
      <c r="G12" s="17">
        <v>9.880141543E9</v>
      </c>
      <c r="H12" s="38">
        <v>5.0</v>
      </c>
      <c r="I12" s="38">
        <v>5.0</v>
      </c>
      <c r="J12" s="38">
        <v>5.0</v>
      </c>
      <c r="K12" s="38">
        <v>10.0</v>
      </c>
      <c r="L12" s="49"/>
      <c r="M12" s="38">
        <v>5.0</v>
      </c>
      <c r="N12" s="38">
        <v>5.0</v>
      </c>
      <c r="O12" s="14">
        <v>5.0</v>
      </c>
      <c r="P12" s="63"/>
      <c r="Q12" s="20">
        <v>5.0</v>
      </c>
      <c r="R12" s="20">
        <v>5.0</v>
      </c>
      <c r="S12" s="20">
        <v>5.0</v>
      </c>
      <c r="T12" s="20">
        <v>5.0</v>
      </c>
      <c r="U12" s="20">
        <v>5.0</v>
      </c>
      <c r="V12" s="20"/>
      <c r="W12" s="20">
        <v>10.0</v>
      </c>
      <c r="X12" s="20">
        <v>5.0</v>
      </c>
      <c r="Y12" s="20">
        <v>5.0</v>
      </c>
      <c r="Z12" s="20">
        <v>5.0</v>
      </c>
      <c r="AA12" s="20">
        <v>5.0</v>
      </c>
      <c r="AB12" s="56">
        <v>5.0</v>
      </c>
      <c r="AC12" s="56">
        <v>5.0</v>
      </c>
      <c r="AD12" s="56">
        <v>10.0</v>
      </c>
      <c r="AE12" s="64">
        <v>5.0</v>
      </c>
      <c r="AF12" s="40">
        <v>5.0</v>
      </c>
      <c r="AG12" s="40">
        <v>5.0</v>
      </c>
      <c r="AH12" s="40">
        <v>5.0</v>
      </c>
      <c r="AI12" s="41"/>
      <c r="AJ12" s="25">
        <f t="shared" si="3"/>
        <v>75</v>
      </c>
      <c r="AK12" s="26">
        <f t="shared" si="4"/>
        <v>107.1428571</v>
      </c>
      <c r="AL12" s="27">
        <f t="shared" si="5"/>
        <v>21</v>
      </c>
      <c r="AM12" s="28"/>
      <c r="AN12" s="28"/>
      <c r="AO12" s="28"/>
    </row>
    <row r="13">
      <c r="A13" s="37">
        <v>11.0</v>
      </c>
      <c r="B13" s="60" t="s">
        <v>86</v>
      </c>
      <c r="C13" s="16" t="s">
        <v>87</v>
      </c>
      <c r="D13" s="16" t="s">
        <v>88</v>
      </c>
      <c r="E13" s="17">
        <v>7.899390754E9</v>
      </c>
      <c r="F13" s="17" t="s">
        <v>89</v>
      </c>
      <c r="G13" s="17">
        <v>9.88068714E9</v>
      </c>
      <c r="H13" s="38">
        <v>5.0</v>
      </c>
      <c r="I13" s="38">
        <v>5.0</v>
      </c>
      <c r="J13" s="49"/>
      <c r="K13" s="49"/>
      <c r="L13" s="49"/>
      <c r="M13" s="38">
        <v>5.0</v>
      </c>
      <c r="N13" s="49"/>
      <c r="O13" s="32"/>
      <c r="P13" s="38">
        <v>5.0</v>
      </c>
      <c r="Q13" s="38">
        <v>5.0</v>
      </c>
      <c r="R13" s="35">
        <v>5.0</v>
      </c>
      <c r="S13" s="35"/>
      <c r="T13" s="38"/>
      <c r="U13" s="36">
        <v>5.0</v>
      </c>
      <c r="V13" s="35">
        <v>5.0</v>
      </c>
      <c r="W13" s="35"/>
      <c r="X13" s="35">
        <v>5.0</v>
      </c>
      <c r="Y13" s="35"/>
      <c r="Z13" s="35">
        <v>5.0</v>
      </c>
      <c r="AA13" s="35"/>
      <c r="AB13" s="37">
        <v>5.0</v>
      </c>
      <c r="AC13" s="65">
        <v>7.5</v>
      </c>
      <c r="AD13" s="37">
        <v>10.0</v>
      </c>
      <c r="AE13" s="39"/>
      <c r="AF13" s="40"/>
      <c r="AG13" s="40"/>
      <c r="AH13" s="40"/>
      <c r="AI13" s="41"/>
      <c r="AJ13" s="25">
        <f t="shared" si="3"/>
        <v>47.5</v>
      </c>
      <c r="AK13" s="42">
        <f t="shared" si="4"/>
        <v>67.85714286</v>
      </c>
      <c r="AL13" s="27">
        <f t="shared" si="5"/>
        <v>13</v>
      </c>
      <c r="AM13" s="66" t="s">
        <v>90</v>
      </c>
      <c r="AN13" s="67"/>
      <c r="AO13" s="28"/>
    </row>
    <row r="14">
      <c r="A14" s="37">
        <v>12.0</v>
      </c>
      <c r="B14" s="60" t="s">
        <v>91</v>
      </c>
      <c r="C14" s="16" t="s">
        <v>92</v>
      </c>
      <c r="D14" s="16" t="s">
        <v>93</v>
      </c>
      <c r="E14" s="17">
        <v>9.945660005E9</v>
      </c>
      <c r="F14" s="17" t="s">
        <v>94</v>
      </c>
      <c r="G14" s="17">
        <v>9.845015522E9</v>
      </c>
      <c r="H14" s="38">
        <v>5.0</v>
      </c>
      <c r="I14" s="38">
        <v>5.0</v>
      </c>
      <c r="J14" s="49"/>
      <c r="K14" s="38">
        <v>10.0</v>
      </c>
      <c r="L14" s="49"/>
      <c r="M14" s="49"/>
      <c r="N14" s="49"/>
      <c r="O14" s="37">
        <v>5.0</v>
      </c>
      <c r="P14" s="38">
        <v>5.0</v>
      </c>
      <c r="Q14" s="33"/>
      <c r="R14" s="35">
        <v>5.0</v>
      </c>
      <c r="S14" s="35">
        <v>5.0</v>
      </c>
      <c r="T14" s="38"/>
      <c r="U14" s="36">
        <v>5.0</v>
      </c>
      <c r="V14" s="35"/>
      <c r="W14" s="35">
        <v>10.0</v>
      </c>
      <c r="X14" s="35"/>
      <c r="Y14" s="35"/>
      <c r="Z14" s="35"/>
      <c r="AA14" s="35"/>
      <c r="AB14" s="35"/>
      <c r="AC14" s="35"/>
      <c r="AD14" s="35">
        <v>10.0</v>
      </c>
      <c r="AE14" s="46"/>
      <c r="AF14" s="40"/>
      <c r="AG14" s="40"/>
      <c r="AH14" s="40"/>
      <c r="AI14" s="41"/>
      <c r="AJ14" s="25">
        <f t="shared" si="3"/>
        <v>35</v>
      </c>
      <c r="AK14" s="42">
        <f t="shared" si="4"/>
        <v>50</v>
      </c>
      <c r="AL14" s="27">
        <f t="shared" si="5"/>
        <v>10</v>
      </c>
      <c r="AM14" s="68" t="s">
        <v>95</v>
      </c>
      <c r="AN14" s="69"/>
      <c r="AO14" s="28"/>
    </row>
    <row r="15">
      <c r="A15" s="37">
        <v>13.0</v>
      </c>
      <c r="B15" s="60" t="s">
        <v>96</v>
      </c>
      <c r="C15" s="16" t="s">
        <v>97</v>
      </c>
      <c r="D15" s="16" t="s">
        <v>98</v>
      </c>
      <c r="E15" s="17">
        <v>9.916988678E9</v>
      </c>
      <c r="F15" s="17" t="s">
        <v>99</v>
      </c>
      <c r="G15" s="17">
        <v>9.900012349E9</v>
      </c>
      <c r="H15" s="38">
        <v>5.0</v>
      </c>
      <c r="I15" s="49"/>
      <c r="J15" s="49"/>
      <c r="K15" s="49"/>
      <c r="L15" s="49"/>
      <c r="M15" s="49"/>
      <c r="N15" s="49"/>
      <c r="O15" s="32"/>
      <c r="P15" s="33"/>
      <c r="Q15" s="33"/>
      <c r="R15" s="35"/>
      <c r="S15" s="35"/>
      <c r="T15" s="38"/>
      <c r="U15" s="36"/>
      <c r="V15" s="35"/>
      <c r="W15" s="35"/>
      <c r="X15" s="35"/>
      <c r="Y15" s="35"/>
      <c r="Z15" s="35"/>
      <c r="AA15" s="35"/>
      <c r="AB15" s="35"/>
      <c r="AC15" s="35"/>
      <c r="AD15" s="35"/>
      <c r="AE15" s="46"/>
      <c r="AF15" s="40"/>
      <c r="AG15" s="40"/>
      <c r="AH15" s="40"/>
      <c r="AI15" s="41"/>
      <c r="AJ15" s="25">
        <f t="shared" si="3"/>
        <v>0</v>
      </c>
      <c r="AK15" s="42">
        <f t="shared" si="4"/>
        <v>0</v>
      </c>
      <c r="AL15" s="27">
        <f t="shared" si="5"/>
        <v>1</v>
      </c>
      <c r="AM15" s="28"/>
      <c r="AN15" s="28"/>
      <c r="AO15" s="28"/>
    </row>
    <row r="16">
      <c r="A16" s="37">
        <v>14.0</v>
      </c>
      <c r="B16" s="60" t="s">
        <v>100</v>
      </c>
      <c r="C16" s="16" t="s">
        <v>101</v>
      </c>
      <c r="D16" s="16" t="s">
        <v>102</v>
      </c>
      <c r="E16" s="17">
        <v>9.901266994E9</v>
      </c>
      <c r="F16" s="17" t="s">
        <v>103</v>
      </c>
      <c r="G16" s="17">
        <v>9.902325898E9</v>
      </c>
      <c r="H16" s="38">
        <v>5.0</v>
      </c>
      <c r="I16" s="49"/>
      <c r="J16" s="49"/>
      <c r="K16" s="49"/>
      <c r="L16" s="49"/>
      <c r="M16" s="49"/>
      <c r="N16" s="49"/>
      <c r="O16" s="37">
        <v>5.0</v>
      </c>
      <c r="P16" s="33"/>
      <c r="Q16" s="33"/>
      <c r="R16" s="35"/>
      <c r="S16" s="35"/>
      <c r="T16" s="38"/>
      <c r="U16" s="36"/>
      <c r="V16" s="35"/>
      <c r="W16" s="35"/>
      <c r="X16" s="35"/>
      <c r="Y16" s="35"/>
      <c r="Z16" s="35"/>
      <c r="AA16" s="35">
        <v>5.0</v>
      </c>
      <c r="AB16" s="35"/>
      <c r="AC16" s="35"/>
      <c r="AD16" s="35"/>
      <c r="AE16" s="46"/>
      <c r="AF16" s="40"/>
      <c r="AG16" s="40"/>
      <c r="AH16" s="40"/>
      <c r="AI16" s="41"/>
      <c r="AJ16" s="25">
        <f t="shared" si="3"/>
        <v>5</v>
      </c>
      <c r="AK16" s="42">
        <f t="shared" si="4"/>
        <v>7.142857143</v>
      </c>
      <c r="AL16" s="27">
        <f t="shared" si="5"/>
        <v>3</v>
      </c>
      <c r="AM16" s="28"/>
      <c r="AN16" s="28"/>
      <c r="AO16" s="28"/>
    </row>
    <row r="17">
      <c r="A17" s="37">
        <v>15.0</v>
      </c>
      <c r="B17" s="60" t="s">
        <v>104</v>
      </c>
      <c r="C17" s="16" t="s">
        <v>105</v>
      </c>
      <c r="D17" s="16" t="s">
        <v>106</v>
      </c>
      <c r="E17" s="17">
        <v>9.916444224E9</v>
      </c>
      <c r="F17" s="17" t="s">
        <v>107</v>
      </c>
      <c r="G17" s="17">
        <v>9.845714976E9</v>
      </c>
      <c r="H17" s="38">
        <v>5.0</v>
      </c>
      <c r="I17" s="38">
        <v>5.0</v>
      </c>
      <c r="J17" s="38">
        <v>5.0</v>
      </c>
      <c r="K17" s="49"/>
      <c r="L17" s="49"/>
      <c r="M17" s="49"/>
      <c r="N17" s="49"/>
      <c r="O17" s="37">
        <v>5.0</v>
      </c>
      <c r="P17" s="38">
        <v>5.0</v>
      </c>
      <c r="Q17" s="38">
        <v>5.0</v>
      </c>
      <c r="R17" s="35"/>
      <c r="S17" s="35"/>
      <c r="T17" s="38"/>
      <c r="U17" s="36">
        <v>5.0</v>
      </c>
      <c r="V17" s="35">
        <v>5.0</v>
      </c>
      <c r="W17" s="35"/>
      <c r="X17" s="35">
        <v>5.0</v>
      </c>
      <c r="Y17" s="35">
        <v>5.0</v>
      </c>
      <c r="Z17" s="35">
        <v>5.0</v>
      </c>
      <c r="AA17" s="35"/>
      <c r="AB17" s="35"/>
      <c r="AC17" s="35">
        <v>5.0</v>
      </c>
      <c r="AD17" s="35"/>
      <c r="AE17" s="46"/>
      <c r="AF17" s="40"/>
      <c r="AG17" s="40"/>
      <c r="AH17" s="40">
        <v>5.0</v>
      </c>
      <c r="AI17" s="41"/>
      <c r="AJ17" s="25">
        <f t="shared" si="3"/>
        <v>30</v>
      </c>
      <c r="AK17" s="42">
        <f t="shared" si="4"/>
        <v>42.85714286</v>
      </c>
      <c r="AL17" s="27">
        <f t="shared" si="5"/>
        <v>12</v>
      </c>
      <c r="AM17" s="28"/>
      <c r="AN17" s="28"/>
      <c r="AO17" s="28"/>
    </row>
    <row r="18">
      <c r="A18" s="37">
        <v>16.0</v>
      </c>
      <c r="B18" s="60" t="s">
        <v>108</v>
      </c>
      <c r="C18" s="16" t="s">
        <v>109</v>
      </c>
      <c r="D18" s="16" t="s">
        <v>110</v>
      </c>
      <c r="E18" s="17">
        <v>9.943131625E9</v>
      </c>
      <c r="F18" s="17" t="s">
        <v>111</v>
      </c>
      <c r="G18" s="17">
        <v>8.088146894E9</v>
      </c>
      <c r="H18" s="38">
        <v>5.0</v>
      </c>
      <c r="I18" s="49"/>
      <c r="J18" s="49"/>
      <c r="K18" s="49"/>
      <c r="L18" s="49"/>
      <c r="M18" s="49"/>
      <c r="N18" s="49"/>
      <c r="O18" s="32"/>
      <c r="P18" s="38">
        <v>5.0</v>
      </c>
      <c r="Q18" s="33"/>
      <c r="R18" s="35"/>
      <c r="S18" s="35"/>
      <c r="T18" s="38"/>
      <c r="U18" s="36"/>
      <c r="V18" s="35"/>
      <c r="W18" s="35"/>
      <c r="X18" s="35"/>
      <c r="Y18" s="35"/>
      <c r="Z18" s="35"/>
      <c r="AA18" s="35"/>
      <c r="AB18" s="35"/>
      <c r="AC18" s="35"/>
      <c r="AD18" s="35"/>
      <c r="AE18" s="46"/>
      <c r="AF18" s="40"/>
      <c r="AG18" s="40"/>
      <c r="AH18" s="40"/>
      <c r="AI18" s="41"/>
      <c r="AJ18" s="25">
        <f t="shared" si="3"/>
        <v>0</v>
      </c>
      <c r="AK18" s="42">
        <f t="shared" si="4"/>
        <v>0</v>
      </c>
      <c r="AL18" s="27">
        <f t="shared" si="5"/>
        <v>2</v>
      </c>
      <c r="AM18" s="28"/>
      <c r="AN18" s="28"/>
      <c r="AO18" s="28"/>
    </row>
    <row r="19">
      <c r="A19" s="47">
        <v>17.0</v>
      </c>
      <c r="B19" s="48" t="s">
        <v>112</v>
      </c>
      <c r="C19" s="16" t="s">
        <v>113</v>
      </c>
      <c r="D19" s="16" t="s">
        <v>114</v>
      </c>
      <c r="E19" s="17">
        <v>9.871474834E9</v>
      </c>
      <c r="F19" s="17" t="s">
        <v>115</v>
      </c>
      <c r="G19" s="17" t="s">
        <v>116</v>
      </c>
      <c r="H19" s="21">
        <v>5.0</v>
      </c>
      <c r="I19" s="70"/>
      <c r="J19" s="70"/>
      <c r="K19" s="70"/>
      <c r="L19" s="21">
        <v>5.0</v>
      </c>
      <c r="M19" s="70"/>
      <c r="N19" s="21">
        <v>5.0</v>
      </c>
      <c r="O19" s="71"/>
      <c r="P19" s="21">
        <v>5.0</v>
      </c>
      <c r="Q19" s="72"/>
      <c r="R19" s="56"/>
      <c r="S19" s="56"/>
      <c r="T19" s="21">
        <v>5.0</v>
      </c>
      <c r="U19" s="36">
        <v>5.0</v>
      </c>
      <c r="V19" s="35"/>
      <c r="W19" s="35"/>
      <c r="X19" s="35"/>
      <c r="Y19" s="35">
        <v>5.0</v>
      </c>
      <c r="Z19" s="35"/>
      <c r="AA19" s="35"/>
      <c r="AB19" s="35"/>
      <c r="AC19" s="35"/>
      <c r="AD19" s="35"/>
      <c r="AE19" s="46"/>
      <c r="AF19" s="40"/>
      <c r="AG19" s="40"/>
      <c r="AH19" s="40">
        <v>5.0</v>
      </c>
      <c r="AI19" s="41"/>
      <c r="AJ19" s="25">
        <f t="shared" si="3"/>
        <v>15</v>
      </c>
      <c r="AK19" s="42">
        <f t="shared" si="4"/>
        <v>21.42857143</v>
      </c>
      <c r="AL19" s="27">
        <f t="shared" si="5"/>
        <v>7</v>
      </c>
      <c r="AM19" s="28"/>
      <c r="AN19" s="28"/>
      <c r="AO19" s="28"/>
    </row>
    <row r="20">
      <c r="A20" s="73">
        <v>18.0</v>
      </c>
      <c r="B20" s="74" t="s">
        <v>117</v>
      </c>
      <c r="C20" s="16" t="s">
        <v>118</v>
      </c>
      <c r="D20" s="16" t="s">
        <v>119</v>
      </c>
      <c r="E20" s="17">
        <v>9.845153838E9</v>
      </c>
      <c r="F20" s="17" t="s">
        <v>120</v>
      </c>
      <c r="G20" s="17">
        <v>7.760593888E9</v>
      </c>
      <c r="H20" s="38">
        <v>5.0</v>
      </c>
      <c r="I20" s="38">
        <v>5.0</v>
      </c>
      <c r="J20" s="38">
        <v>5.0</v>
      </c>
      <c r="K20" s="49"/>
      <c r="L20" s="38">
        <v>5.0</v>
      </c>
      <c r="M20" s="38">
        <v>5.0</v>
      </c>
      <c r="N20" s="38">
        <v>5.0</v>
      </c>
      <c r="O20" s="14">
        <v>5.0</v>
      </c>
      <c r="P20" s="20">
        <v>5.0</v>
      </c>
      <c r="Q20" s="20">
        <v>5.0</v>
      </c>
      <c r="R20" s="20">
        <v>5.0</v>
      </c>
      <c r="S20" s="20">
        <v>5.0</v>
      </c>
      <c r="T20" s="20">
        <v>5.0</v>
      </c>
      <c r="U20" s="20">
        <v>5.0</v>
      </c>
      <c r="V20" s="20">
        <v>5.0</v>
      </c>
      <c r="W20" s="20"/>
      <c r="X20" s="20">
        <v>5.0</v>
      </c>
      <c r="Y20" s="20">
        <v>5.0</v>
      </c>
      <c r="Z20" s="20">
        <v>5.0</v>
      </c>
      <c r="AA20" s="20">
        <v>5.0</v>
      </c>
      <c r="AB20" s="56"/>
      <c r="AC20" s="56">
        <v>5.0</v>
      </c>
      <c r="AD20" s="56"/>
      <c r="AE20" s="64"/>
      <c r="AF20" s="40"/>
      <c r="AG20" s="40">
        <v>5.0</v>
      </c>
      <c r="AH20" s="40">
        <v>5.0</v>
      </c>
      <c r="AI20" s="41"/>
      <c r="AJ20" s="25">
        <f t="shared" si="3"/>
        <v>50</v>
      </c>
      <c r="AK20" s="42">
        <f t="shared" si="4"/>
        <v>71.42857143</v>
      </c>
      <c r="AL20" s="27">
        <f t="shared" si="5"/>
        <v>19</v>
      </c>
      <c r="AM20" s="28"/>
      <c r="AN20" s="28"/>
      <c r="AO20" s="28"/>
    </row>
    <row r="21">
      <c r="A21" s="37">
        <v>19.0</v>
      </c>
      <c r="B21" s="60" t="s">
        <v>121</v>
      </c>
      <c r="C21" s="16" t="s">
        <v>122</v>
      </c>
      <c r="D21" s="16" t="s">
        <v>123</v>
      </c>
      <c r="E21" s="17">
        <v>9.632597898E9</v>
      </c>
      <c r="F21" s="17" t="s">
        <v>124</v>
      </c>
      <c r="G21" s="17">
        <v>9.74081721E9</v>
      </c>
      <c r="H21" s="38">
        <v>5.0</v>
      </c>
      <c r="I21" s="38">
        <v>5.0</v>
      </c>
      <c r="J21" s="49"/>
      <c r="K21" s="49"/>
      <c r="L21" s="49"/>
      <c r="M21" s="49"/>
      <c r="N21" s="49"/>
      <c r="O21" s="32"/>
      <c r="P21" s="33"/>
      <c r="Q21" s="33"/>
      <c r="R21" s="35">
        <v>5.0</v>
      </c>
      <c r="S21" s="35"/>
      <c r="T21" s="38"/>
      <c r="U21" s="36"/>
      <c r="V21" s="35"/>
      <c r="W21" s="35"/>
      <c r="X21" s="35"/>
      <c r="Y21" s="35"/>
      <c r="Z21" s="35"/>
      <c r="AA21" s="35"/>
      <c r="AB21" s="37"/>
      <c r="AC21" s="37">
        <v>5.0</v>
      </c>
      <c r="AD21" s="37"/>
      <c r="AE21" s="39"/>
      <c r="AF21" s="40"/>
      <c r="AG21" s="40"/>
      <c r="AH21" s="40"/>
      <c r="AI21" s="41"/>
      <c r="AJ21" s="25">
        <f t="shared" si="3"/>
        <v>10</v>
      </c>
      <c r="AK21" s="42">
        <f t="shared" si="4"/>
        <v>14.28571429</v>
      </c>
      <c r="AL21" s="27">
        <f t="shared" si="5"/>
        <v>4</v>
      </c>
      <c r="AM21" s="28"/>
      <c r="AN21" s="28"/>
      <c r="AO21" s="28"/>
    </row>
    <row r="22">
      <c r="A22" s="14">
        <v>20.0</v>
      </c>
      <c r="B22" s="15" t="s">
        <v>125</v>
      </c>
      <c r="C22" s="16" t="s">
        <v>126</v>
      </c>
      <c r="D22" s="16" t="s">
        <v>127</v>
      </c>
      <c r="E22" s="17">
        <v>9.9861603E9</v>
      </c>
      <c r="F22" s="17" t="s">
        <v>128</v>
      </c>
      <c r="G22" s="17">
        <v>9.739899568E9</v>
      </c>
      <c r="H22" s="38">
        <v>5.0</v>
      </c>
      <c r="I22" s="38">
        <v>5.0</v>
      </c>
      <c r="J22" s="50">
        <v>7.5</v>
      </c>
      <c r="K22" s="38">
        <v>10.0</v>
      </c>
      <c r="L22" s="49"/>
      <c r="M22" s="50">
        <v>7.5</v>
      </c>
      <c r="N22" s="38">
        <v>5.0</v>
      </c>
      <c r="O22" s="75"/>
      <c r="P22" s="44">
        <v>7.5</v>
      </c>
      <c r="Q22" s="44">
        <v>7.5</v>
      </c>
      <c r="R22" s="20"/>
      <c r="S22" s="20">
        <v>5.0</v>
      </c>
      <c r="T22" s="76">
        <v>7.5</v>
      </c>
      <c r="U22" s="76">
        <v>10.0</v>
      </c>
      <c r="V22" s="55">
        <v>5.0</v>
      </c>
      <c r="W22" s="55">
        <v>10.0</v>
      </c>
      <c r="X22" s="55"/>
      <c r="Y22" s="55"/>
      <c r="Z22" s="55">
        <v>5.0</v>
      </c>
      <c r="AA22" s="55">
        <v>5.0</v>
      </c>
      <c r="AB22" s="57">
        <v>7.5</v>
      </c>
      <c r="AC22" s="56"/>
      <c r="AD22" s="56">
        <v>10.0</v>
      </c>
      <c r="AE22" s="77">
        <v>7.5</v>
      </c>
      <c r="AF22" s="40">
        <v>5.0</v>
      </c>
      <c r="AG22" s="77">
        <v>7.5</v>
      </c>
      <c r="AH22" s="40">
        <v>5.0</v>
      </c>
      <c r="AI22" s="41"/>
      <c r="AJ22" s="25">
        <f t="shared" si="3"/>
        <v>72.5</v>
      </c>
      <c r="AK22" s="26">
        <f t="shared" si="4"/>
        <v>103.5714286</v>
      </c>
      <c r="AL22" s="27">
        <f t="shared" si="5"/>
        <v>18</v>
      </c>
      <c r="AM22" s="28"/>
      <c r="AN22" s="28"/>
      <c r="AO22" s="28"/>
    </row>
    <row r="23">
      <c r="A23" s="14">
        <v>21.0</v>
      </c>
      <c r="B23" s="15" t="s">
        <v>129</v>
      </c>
      <c r="C23" s="16" t="s">
        <v>130</v>
      </c>
      <c r="D23" s="16" t="s">
        <v>131</v>
      </c>
      <c r="E23" s="17">
        <v>9.900446218E9</v>
      </c>
      <c r="F23" s="17" t="s">
        <v>132</v>
      </c>
      <c r="G23" s="17">
        <v>9.980850027E9</v>
      </c>
      <c r="H23" s="38">
        <v>5.0</v>
      </c>
      <c r="I23" s="38">
        <v>5.0</v>
      </c>
      <c r="J23" s="38">
        <v>5.0</v>
      </c>
      <c r="K23" s="50">
        <v>12.5</v>
      </c>
      <c r="L23" s="49"/>
      <c r="M23" s="38">
        <v>5.0</v>
      </c>
      <c r="N23" s="49"/>
      <c r="O23" s="78">
        <v>7.5</v>
      </c>
      <c r="P23" s="20">
        <v>5.0</v>
      </c>
      <c r="Q23" s="20">
        <v>5.0</v>
      </c>
      <c r="R23" s="20">
        <v>5.0</v>
      </c>
      <c r="S23" s="44">
        <v>7.5</v>
      </c>
      <c r="T23" s="44">
        <v>7.5</v>
      </c>
      <c r="U23" s="20">
        <v>5.0</v>
      </c>
      <c r="V23" s="20">
        <v>5.0</v>
      </c>
      <c r="W23" s="20"/>
      <c r="X23" s="76">
        <v>7.5</v>
      </c>
      <c r="Y23" s="44">
        <v>7.5</v>
      </c>
      <c r="Z23" s="55">
        <v>5.0</v>
      </c>
      <c r="AA23" s="55">
        <v>5.0</v>
      </c>
      <c r="AB23" s="79"/>
      <c r="AC23" s="79">
        <v>5.0</v>
      </c>
      <c r="AD23" s="79"/>
      <c r="AE23" s="80"/>
      <c r="AF23" s="40">
        <v>5.0</v>
      </c>
      <c r="AG23" s="40">
        <v>5.0</v>
      </c>
      <c r="AH23" s="40"/>
      <c r="AI23" s="41"/>
      <c r="AJ23" s="25">
        <f t="shared" si="3"/>
        <v>60</v>
      </c>
      <c r="AK23" s="26">
        <f t="shared" si="4"/>
        <v>85.71428571</v>
      </c>
      <c r="AL23" s="27">
        <f t="shared" si="5"/>
        <v>18</v>
      </c>
      <c r="AM23" s="28"/>
      <c r="AN23" s="28"/>
      <c r="AO23" s="28"/>
    </row>
    <row r="24">
      <c r="A24" s="37">
        <v>22.0</v>
      </c>
      <c r="B24" s="60" t="s">
        <v>133</v>
      </c>
      <c r="C24" s="16" t="s">
        <v>134</v>
      </c>
      <c r="D24" s="16" t="s">
        <v>135</v>
      </c>
      <c r="E24" s="17">
        <v>8.970422349E9</v>
      </c>
      <c r="F24" s="17" t="s">
        <v>136</v>
      </c>
      <c r="G24" s="17">
        <v>9.945131526E9</v>
      </c>
      <c r="H24" s="38">
        <v>5.0</v>
      </c>
      <c r="I24" s="49"/>
      <c r="J24" s="49"/>
      <c r="K24" s="49"/>
      <c r="L24" s="49"/>
      <c r="M24" s="49"/>
      <c r="N24" s="49"/>
      <c r="O24" s="32"/>
      <c r="P24" s="33"/>
      <c r="Q24" s="33"/>
      <c r="R24" s="35"/>
      <c r="S24" s="35"/>
      <c r="T24" s="38"/>
      <c r="U24" s="36"/>
      <c r="V24" s="35"/>
      <c r="W24" s="35"/>
      <c r="X24" s="35"/>
      <c r="Y24" s="35"/>
      <c r="Z24" s="40"/>
      <c r="AA24" s="35"/>
      <c r="AB24" s="37"/>
      <c r="AC24" s="37"/>
      <c r="AD24" s="37"/>
      <c r="AE24" s="39"/>
      <c r="AF24" s="40"/>
      <c r="AG24" s="40"/>
      <c r="AH24" s="40"/>
      <c r="AI24" s="41"/>
      <c r="AJ24" s="25">
        <f t="shared" si="3"/>
        <v>0</v>
      </c>
      <c r="AK24" s="42">
        <f t="shared" si="4"/>
        <v>0</v>
      </c>
      <c r="AL24" s="27">
        <f t="shared" si="5"/>
        <v>1</v>
      </c>
      <c r="AM24" s="28"/>
      <c r="AN24" s="28"/>
      <c r="AO24" s="28"/>
    </row>
    <row r="25">
      <c r="A25" s="37">
        <v>23.0</v>
      </c>
      <c r="B25" s="60" t="s">
        <v>137</v>
      </c>
      <c r="C25" s="16" t="s">
        <v>138</v>
      </c>
      <c r="D25" s="16" t="s">
        <v>139</v>
      </c>
      <c r="E25" s="17">
        <v>9.886815003E9</v>
      </c>
      <c r="F25" s="17" t="s">
        <v>140</v>
      </c>
      <c r="G25" s="17">
        <v>9.886217515E9</v>
      </c>
      <c r="H25" s="38">
        <v>5.0</v>
      </c>
      <c r="I25" s="38">
        <v>5.0</v>
      </c>
      <c r="J25" s="38">
        <v>5.0</v>
      </c>
      <c r="K25" s="49"/>
      <c r="L25" s="49"/>
      <c r="M25" s="38">
        <v>5.0</v>
      </c>
      <c r="N25" s="49"/>
      <c r="O25" s="37">
        <v>5.0</v>
      </c>
      <c r="P25" s="38">
        <v>5.0</v>
      </c>
      <c r="Q25" s="38">
        <v>5.0</v>
      </c>
      <c r="R25" s="35">
        <v>5.0</v>
      </c>
      <c r="S25" s="35"/>
      <c r="T25" s="38">
        <v>5.0</v>
      </c>
      <c r="U25" s="36">
        <v>5.0</v>
      </c>
      <c r="V25" s="35">
        <v>5.0</v>
      </c>
      <c r="W25" s="35"/>
      <c r="X25" s="35"/>
      <c r="Y25" s="35">
        <v>5.0</v>
      </c>
      <c r="Z25" s="38">
        <v>5.0</v>
      </c>
      <c r="AA25" s="35"/>
      <c r="AB25" s="35"/>
      <c r="AC25" s="35">
        <v>5.0</v>
      </c>
      <c r="AD25" s="35"/>
      <c r="AE25" s="46"/>
      <c r="AF25" s="40">
        <v>5.0</v>
      </c>
      <c r="AG25" s="40"/>
      <c r="AH25" s="40">
        <v>5.0</v>
      </c>
      <c r="AI25" s="41"/>
      <c r="AJ25" s="25">
        <f t="shared" si="3"/>
        <v>35</v>
      </c>
      <c r="AK25" s="42">
        <f t="shared" si="4"/>
        <v>50</v>
      </c>
      <c r="AL25" s="27">
        <f t="shared" si="5"/>
        <v>14</v>
      </c>
      <c r="AM25" s="28"/>
      <c r="AN25" s="28"/>
      <c r="AO25" s="28"/>
    </row>
    <row r="26">
      <c r="A26" s="37">
        <v>24.0</v>
      </c>
      <c r="B26" s="60" t="s">
        <v>141</v>
      </c>
      <c r="C26" s="16" t="s">
        <v>142</v>
      </c>
      <c r="D26" s="16" t="s">
        <v>143</v>
      </c>
      <c r="E26" s="17">
        <v>9.880595695E9</v>
      </c>
      <c r="F26" s="17" t="s">
        <v>144</v>
      </c>
      <c r="G26" s="17">
        <v>9.686280519E9</v>
      </c>
      <c r="H26" s="38">
        <v>5.0</v>
      </c>
      <c r="I26" s="49"/>
      <c r="J26" s="49"/>
      <c r="K26" s="49"/>
      <c r="L26" s="49"/>
      <c r="M26" s="38">
        <v>5.0</v>
      </c>
      <c r="N26" s="49"/>
      <c r="O26" s="37">
        <v>5.0</v>
      </c>
      <c r="P26" s="33"/>
      <c r="Q26" s="33"/>
      <c r="R26" s="35"/>
      <c r="S26" s="35">
        <v>5.0</v>
      </c>
      <c r="T26" s="38">
        <v>5.0</v>
      </c>
      <c r="U26" s="36">
        <v>5.0</v>
      </c>
      <c r="V26" s="35"/>
      <c r="W26" s="35"/>
      <c r="X26" s="35">
        <v>5.0</v>
      </c>
      <c r="Y26" s="35">
        <v>5.0</v>
      </c>
      <c r="Z26" s="38">
        <v>5.0</v>
      </c>
      <c r="AA26" s="35">
        <v>5.0</v>
      </c>
      <c r="AB26" s="35"/>
      <c r="AC26" s="35">
        <v>5.0</v>
      </c>
      <c r="AD26" s="35"/>
      <c r="AE26" s="46"/>
      <c r="AF26" s="40">
        <v>5.0</v>
      </c>
      <c r="AG26" s="40"/>
      <c r="AH26" s="40"/>
      <c r="AI26" s="41"/>
      <c r="AJ26" s="25">
        <f t="shared" si="3"/>
        <v>40</v>
      </c>
      <c r="AK26" s="42">
        <f t="shared" si="4"/>
        <v>57.14285714</v>
      </c>
      <c r="AL26" s="27">
        <f t="shared" si="5"/>
        <v>11</v>
      </c>
      <c r="AM26" s="28"/>
      <c r="AN26" s="28"/>
      <c r="AO26" s="28"/>
    </row>
    <row r="27">
      <c r="A27" s="14">
        <v>25.0</v>
      </c>
      <c r="B27" s="15" t="s">
        <v>145</v>
      </c>
      <c r="C27" s="16" t="s">
        <v>146</v>
      </c>
      <c r="D27" s="16" t="s">
        <v>147</v>
      </c>
      <c r="E27" s="17">
        <v>7.760118007E9</v>
      </c>
      <c r="F27" s="17" t="s">
        <v>148</v>
      </c>
      <c r="G27" s="17">
        <v>9.480334307E9</v>
      </c>
      <c r="H27" s="38">
        <v>5.0</v>
      </c>
      <c r="I27" s="49"/>
      <c r="J27" s="38">
        <v>5.0</v>
      </c>
      <c r="K27" s="49"/>
      <c r="L27" s="38">
        <v>5.0</v>
      </c>
      <c r="M27" s="38">
        <v>5.0</v>
      </c>
      <c r="N27" s="38">
        <v>5.0</v>
      </c>
      <c r="O27" s="37">
        <v>5.0</v>
      </c>
      <c r="P27" s="38">
        <v>5.0</v>
      </c>
      <c r="Q27" s="38">
        <v>5.0</v>
      </c>
      <c r="R27" s="44">
        <v>7.5</v>
      </c>
      <c r="S27" s="20">
        <v>5.0</v>
      </c>
      <c r="T27" s="20">
        <v>5.0</v>
      </c>
      <c r="U27" s="20">
        <v>5.0</v>
      </c>
      <c r="V27" s="20">
        <v>5.0</v>
      </c>
      <c r="W27" s="20"/>
      <c r="X27" s="44">
        <v>7.5</v>
      </c>
      <c r="Y27" s="55">
        <v>5.0</v>
      </c>
      <c r="Z27" s="44">
        <v>7.5</v>
      </c>
      <c r="AA27" s="55">
        <v>5.0</v>
      </c>
      <c r="AB27" s="56"/>
      <c r="AC27" s="56">
        <v>5.0</v>
      </c>
      <c r="AD27" s="56"/>
      <c r="AE27" s="64"/>
      <c r="AF27" s="40">
        <v>5.0</v>
      </c>
      <c r="AG27" s="40">
        <v>5.0</v>
      </c>
      <c r="AH27" s="40"/>
      <c r="AI27" s="41"/>
      <c r="AJ27" s="25">
        <f t="shared" si="3"/>
        <v>57.5</v>
      </c>
      <c r="AK27" s="26">
        <f t="shared" si="4"/>
        <v>82.14285714</v>
      </c>
      <c r="AL27" s="27">
        <f t="shared" si="5"/>
        <v>18</v>
      </c>
      <c r="AM27" s="81"/>
      <c r="AN27" s="81"/>
      <c r="AO27" s="81"/>
      <c r="AP27" s="82"/>
      <c r="AQ27" s="82"/>
      <c r="AR27" s="82"/>
      <c r="AS27" s="82"/>
      <c r="AT27" s="82"/>
      <c r="AU27" s="82"/>
      <c r="AV27" s="82"/>
    </row>
    <row r="28">
      <c r="A28" s="37">
        <v>26.0</v>
      </c>
      <c r="B28" s="83" t="s">
        <v>149</v>
      </c>
      <c r="C28" s="16" t="s">
        <v>150</v>
      </c>
      <c r="D28" s="16" t="s">
        <v>151</v>
      </c>
      <c r="E28" s="17">
        <v>9.980065721E9</v>
      </c>
      <c r="F28" s="17" t="s">
        <v>152</v>
      </c>
      <c r="G28" s="17">
        <v>9.980064427E9</v>
      </c>
      <c r="H28" s="37">
        <v>5.0</v>
      </c>
      <c r="I28" s="49"/>
      <c r="J28" s="49"/>
      <c r="K28" s="49"/>
      <c r="L28" s="49"/>
      <c r="M28" s="38">
        <v>5.0</v>
      </c>
      <c r="N28" s="49"/>
      <c r="O28" s="32"/>
      <c r="P28" s="33"/>
      <c r="Q28" s="33"/>
      <c r="R28" s="35"/>
      <c r="S28" s="35">
        <v>5.0</v>
      </c>
      <c r="T28" s="38">
        <v>5.0</v>
      </c>
      <c r="U28" s="36">
        <v>5.0</v>
      </c>
      <c r="V28" s="35">
        <v>5.0</v>
      </c>
      <c r="W28" s="35"/>
      <c r="X28" s="35"/>
      <c r="Y28" s="35"/>
      <c r="Z28" s="84"/>
      <c r="AA28" s="35"/>
      <c r="AB28" s="37">
        <v>5.0</v>
      </c>
      <c r="AC28" s="37"/>
      <c r="AD28" s="37"/>
      <c r="AE28" s="39"/>
      <c r="AF28" s="40"/>
      <c r="AG28" s="40">
        <v>5.0</v>
      </c>
      <c r="AH28" s="40">
        <v>5.0</v>
      </c>
      <c r="AI28" s="41"/>
      <c r="AJ28" s="25">
        <f t="shared" si="3"/>
        <v>25</v>
      </c>
      <c r="AK28" s="42">
        <f t="shared" si="4"/>
        <v>35.71428571</v>
      </c>
      <c r="AL28" s="27">
        <f t="shared" si="5"/>
        <v>7</v>
      </c>
      <c r="AM28" s="28"/>
      <c r="AN28" s="28"/>
      <c r="AO28" s="28"/>
    </row>
    <row r="29">
      <c r="A29" s="73">
        <v>27.0</v>
      </c>
      <c r="B29" s="85" t="s">
        <v>153</v>
      </c>
      <c r="C29" s="16" t="s">
        <v>154</v>
      </c>
      <c r="D29" s="16" t="s">
        <v>155</v>
      </c>
      <c r="E29" s="17">
        <v>9.632288911E9</v>
      </c>
      <c r="F29" s="17" t="s">
        <v>156</v>
      </c>
      <c r="G29" s="17">
        <v>9.060460257E9</v>
      </c>
      <c r="H29" s="38">
        <v>5.0</v>
      </c>
      <c r="I29" s="49"/>
      <c r="J29" s="49"/>
      <c r="K29" s="49"/>
      <c r="L29" s="49"/>
      <c r="M29" s="38">
        <v>5.0</v>
      </c>
      <c r="N29" s="49"/>
      <c r="O29" s="37">
        <v>5.0</v>
      </c>
      <c r="P29" s="38">
        <v>5.0</v>
      </c>
      <c r="Q29" s="38">
        <v>5.0</v>
      </c>
      <c r="R29" s="35">
        <v>5.0</v>
      </c>
      <c r="S29" s="35">
        <v>5.0</v>
      </c>
      <c r="T29" s="38">
        <v>5.0</v>
      </c>
      <c r="U29" s="36">
        <v>5.0</v>
      </c>
      <c r="V29" s="35">
        <v>5.0</v>
      </c>
      <c r="W29" s="35"/>
      <c r="X29" s="35">
        <v>5.0</v>
      </c>
      <c r="Y29" s="35">
        <v>5.0</v>
      </c>
      <c r="Z29" s="38">
        <v>5.0</v>
      </c>
      <c r="AA29" s="35">
        <v>5.0</v>
      </c>
      <c r="AB29" s="56"/>
      <c r="AC29" s="56">
        <v>5.0</v>
      </c>
      <c r="AD29" s="56"/>
      <c r="AE29" s="64"/>
      <c r="AF29" s="40">
        <v>5.0</v>
      </c>
      <c r="AG29" s="40">
        <v>5.0</v>
      </c>
      <c r="AH29" s="77">
        <v>7.5</v>
      </c>
      <c r="AI29" s="41"/>
      <c r="AJ29" s="25">
        <f t="shared" si="3"/>
        <v>50</v>
      </c>
      <c r="AK29" s="42">
        <f t="shared" si="4"/>
        <v>71.42857143</v>
      </c>
      <c r="AL29" s="27">
        <f t="shared" si="5"/>
        <v>15</v>
      </c>
      <c r="AM29" s="28"/>
      <c r="AN29" s="28"/>
      <c r="AO29" s="28"/>
    </row>
    <row r="30">
      <c r="A30" s="37">
        <v>28.0</v>
      </c>
      <c r="B30" s="60" t="s">
        <v>157</v>
      </c>
      <c r="C30" s="16" t="s">
        <v>158</v>
      </c>
      <c r="D30" s="16" t="s">
        <v>159</v>
      </c>
      <c r="E30" s="17">
        <v>9.980132066E9</v>
      </c>
      <c r="F30" s="17" t="s">
        <v>160</v>
      </c>
      <c r="G30" s="17">
        <v>8.861523616E9</v>
      </c>
      <c r="H30" s="38">
        <v>5.0</v>
      </c>
      <c r="I30" s="38">
        <v>5.0</v>
      </c>
      <c r="J30" s="38">
        <v>5.0</v>
      </c>
      <c r="K30" s="49"/>
      <c r="L30" s="49"/>
      <c r="M30" s="49"/>
      <c r="N30" s="49"/>
      <c r="O30" s="37">
        <v>5.0</v>
      </c>
      <c r="P30" s="33"/>
      <c r="Q30" s="33"/>
      <c r="R30" s="35"/>
      <c r="S30" s="35"/>
      <c r="T30" s="38"/>
      <c r="U30" s="36">
        <v>5.0</v>
      </c>
      <c r="V30" s="35">
        <v>5.0</v>
      </c>
      <c r="W30" s="35"/>
      <c r="X30" s="35"/>
      <c r="Y30" s="35">
        <v>5.0</v>
      </c>
      <c r="Z30" s="38">
        <v>5.0</v>
      </c>
      <c r="AA30" s="35"/>
      <c r="AB30" s="37"/>
      <c r="AC30" s="37">
        <v>5.0</v>
      </c>
      <c r="AD30" s="37"/>
      <c r="AE30" s="39"/>
      <c r="AF30" s="40">
        <v>5.0</v>
      </c>
      <c r="AG30" s="40"/>
      <c r="AH30" s="40">
        <v>5.0</v>
      </c>
      <c r="AI30" s="41"/>
      <c r="AJ30" s="25">
        <f t="shared" si="3"/>
        <v>25</v>
      </c>
      <c r="AK30" s="42">
        <f t="shared" si="4"/>
        <v>35.71428571</v>
      </c>
      <c r="AL30" s="27">
        <f t="shared" si="5"/>
        <v>9</v>
      </c>
      <c r="AM30" s="28"/>
      <c r="AN30" s="28"/>
      <c r="AO30" s="28"/>
    </row>
    <row r="31">
      <c r="A31" s="37">
        <v>29.0</v>
      </c>
      <c r="B31" s="60" t="s">
        <v>161</v>
      </c>
      <c r="C31" s="16" t="s">
        <v>162</v>
      </c>
      <c r="D31" s="16" t="s">
        <v>163</v>
      </c>
      <c r="E31" s="17">
        <v>9.945311733E9</v>
      </c>
      <c r="F31" s="17" t="s">
        <v>164</v>
      </c>
      <c r="G31" s="17">
        <v>7.259433566E9</v>
      </c>
      <c r="H31" s="38">
        <v>5.0</v>
      </c>
      <c r="I31" s="49"/>
      <c r="J31" s="49"/>
      <c r="K31" s="38">
        <v>10.0</v>
      </c>
      <c r="L31" s="49"/>
      <c r="M31" s="49"/>
      <c r="N31" s="49"/>
      <c r="O31" s="32"/>
      <c r="P31" s="33"/>
      <c r="Q31" s="33"/>
      <c r="R31" s="35"/>
      <c r="S31" s="35"/>
      <c r="T31" s="38"/>
      <c r="U31" s="36">
        <v>5.0</v>
      </c>
      <c r="V31" s="35"/>
      <c r="W31" s="35"/>
      <c r="X31" s="35"/>
      <c r="Y31" s="35"/>
      <c r="Z31" s="38">
        <v>5.0</v>
      </c>
      <c r="AA31" s="35"/>
      <c r="AB31" s="35"/>
      <c r="AC31" s="35"/>
      <c r="AD31" s="35"/>
      <c r="AE31" s="46"/>
      <c r="AF31" s="40">
        <v>5.0</v>
      </c>
      <c r="AG31" s="40">
        <v>5.0</v>
      </c>
      <c r="AH31" s="40"/>
      <c r="AI31" s="41"/>
      <c r="AJ31" s="25">
        <f t="shared" si="3"/>
        <v>10</v>
      </c>
      <c r="AK31" s="42">
        <f t="shared" si="4"/>
        <v>14.28571429</v>
      </c>
      <c r="AL31" s="27">
        <f t="shared" si="5"/>
        <v>4</v>
      </c>
      <c r="AM31" s="28"/>
      <c r="AN31" s="28"/>
      <c r="AO31" s="28"/>
    </row>
    <row r="32">
      <c r="A32" s="37">
        <v>30.0</v>
      </c>
      <c r="B32" s="60" t="s">
        <v>165</v>
      </c>
      <c r="C32" s="16" t="s">
        <v>166</v>
      </c>
      <c r="D32" s="16" t="s">
        <v>167</v>
      </c>
      <c r="E32" s="17">
        <v>9.739004767E9</v>
      </c>
      <c r="F32" s="17" t="s">
        <v>168</v>
      </c>
      <c r="G32" s="17" t="s">
        <v>169</v>
      </c>
      <c r="H32" s="38">
        <v>5.0</v>
      </c>
      <c r="I32" s="49"/>
      <c r="J32" s="49"/>
      <c r="K32" s="49"/>
      <c r="L32" s="49"/>
      <c r="M32" s="49"/>
      <c r="N32" s="49"/>
      <c r="O32" s="32"/>
      <c r="P32" s="38">
        <v>5.0</v>
      </c>
      <c r="Q32" s="33"/>
      <c r="R32" s="35"/>
      <c r="S32" s="35">
        <v>5.0</v>
      </c>
      <c r="T32" s="38">
        <v>5.0</v>
      </c>
      <c r="U32" s="36"/>
      <c r="V32" s="35"/>
      <c r="W32" s="35"/>
      <c r="X32" s="35"/>
      <c r="Y32" s="35">
        <v>5.0</v>
      </c>
      <c r="Z32" s="84"/>
      <c r="AA32" s="35"/>
      <c r="AB32" s="35"/>
      <c r="AC32" s="35"/>
      <c r="AD32" s="35"/>
      <c r="AE32" s="46">
        <v>5.0</v>
      </c>
      <c r="AF32" s="40"/>
      <c r="AG32" s="40"/>
      <c r="AH32" s="40"/>
      <c r="AI32" s="41"/>
      <c r="AJ32" s="25">
        <f t="shared" si="3"/>
        <v>20</v>
      </c>
      <c r="AK32" s="42">
        <f t="shared" si="4"/>
        <v>28.57142857</v>
      </c>
      <c r="AL32" s="27">
        <f t="shared" si="5"/>
        <v>6</v>
      </c>
      <c r="AM32" s="28"/>
      <c r="AN32" s="28"/>
      <c r="AO32" s="28"/>
    </row>
    <row r="33">
      <c r="A33" s="37">
        <v>31.0</v>
      </c>
      <c r="B33" s="60" t="s">
        <v>170</v>
      </c>
      <c r="C33" s="16" t="s">
        <v>171</v>
      </c>
      <c r="D33" s="16" t="s">
        <v>172</v>
      </c>
      <c r="E33" s="17">
        <v>9.845603063E9</v>
      </c>
      <c r="F33" s="17">
        <v>9.840844843E9</v>
      </c>
      <c r="G33" s="17">
        <v>9.845603063E9</v>
      </c>
      <c r="H33" s="38">
        <v>5.0</v>
      </c>
      <c r="I33" s="38">
        <v>5.0</v>
      </c>
      <c r="J33" s="49"/>
      <c r="K33" s="49"/>
      <c r="L33" s="49"/>
      <c r="M33" s="49"/>
      <c r="N33" s="49"/>
      <c r="O33" s="32"/>
      <c r="P33" s="33"/>
      <c r="Q33" s="33"/>
      <c r="R33" s="35"/>
      <c r="S33" s="35"/>
      <c r="T33" s="38"/>
      <c r="U33" s="36"/>
      <c r="V33" s="35"/>
      <c r="W33" s="35"/>
      <c r="X33" s="35"/>
      <c r="Y33" s="35"/>
      <c r="Z33" s="84"/>
      <c r="AA33" s="35"/>
      <c r="AB33" s="35"/>
      <c r="AC33" s="35"/>
      <c r="AD33" s="35"/>
      <c r="AE33" s="46"/>
      <c r="AF33" s="40"/>
      <c r="AG33" s="40"/>
      <c r="AH33" s="40"/>
      <c r="AI33" s="41"/>
      <c r="AJ33" s="25">
        <f t="shared" si="3"/>
        <v>0</v>
      </c>
      <c r="AK33" s="42">
        <f t="shared" si="4"/>
        <v>0</v>
      </c>
      <c r="AL33" s="27">
        <f t="shared" si="5"/>
        <v>2</v>
      </c>
      <c r="AM33" s="28"/>
      <c r="AN33" s="28"/>
      <c r="AO33" s="28"/>
    </row>
    <row r="34">
      <c r="A34" s="37">
        <v>32.0</v>
      </c>
      <c r="B34" s="60" t="s">
        <v>173</v>
      </c>
      <c r="C34" s="16" t="s">
        <v>174</v>
      </c>
      <c r="D34" s="16" t="s">
        <v>175</v>
      </c>
      <c r="E34" s="17">
        <v>9.972299211E9</v>
      </c>
      <c r="F34" s="17" t="s">
        <v>176</v>
      </c>
      <c r="G34" s="17">
        <v>9.880269359E9</v>
      </c>
      <c r="H34" s="38">
        <v>5.0</v>
      </c>
      <c r="I34" s="49"/>
      <c r="J34" s="49"/>
      <c r="K34" s="49"/>
      <c r="L34" s="49"/>
      <c r="M34" s="38">
        <v>5.0</v>
      </c>
      <c r="N34" s="49"/>
      <c r="O34" s="37">
        <v>5.0</v>
      </c>
      <c r="P34" s="33"/>
      <c r="Q34" s="33"/>
      <c r="R34" s="35"/>
      <c r="S34" s="35"/>
      <c r="T34" s="38"/>
      <c r="U34" s="36">
        <v>5.0</v>
      </c>
      <c r="V34" s="35"/>
      <c r="W34" s="35"/>
      <c r="X34" s="35"/>
      <c r="Y34" s="38">
        <v>5.0</v>
      </c>
      <c r="Z34" s="84"/>
      <c r="AA34" s="86">
        <v>7.5</v>
      </c>
      <c r="AB34" s="35"/>
      <c r="AC34" s="35"/>
      <c r="AD34" s="35"/>
      <c r="AE34" s="46"/>
      <c r="AF34" s="40"/>
      <c r="AG34" s="40">
        <v>5.0</v>
      </c>
      <c r="AH34" s="40"/>
      <c r="AI34" s="41"/>
      <c r="AJ34" s="25">
        <f t="shared" si="3"/>
        <v>17.5</v>
      </c>
      <c r="AK34" s="42">
        <f t="shared" si="4"/>
        <v>25</v>
      </c>
      <c r="AL34" s="27">
        <f t="shared" si="5"/>
        <v>6</v>
      </c>
      <c r="AM34" s="28"/>
      <c r="AN34" s="28"/>
      <c r="AO34" s="28"/>
    </row>
    <row r="35">
      <c r="A35" s="37">
        <v>33.0</v>
      </c>
      <c r="B35" s="60" t="s">
        <v>177</v>
      </c>
      <c r="C35" s="16" t="s">
        <v>178</v>
      </c>
      <c r="D35" s="16" t="s">
        <v>179</v>
      </c>
      <c r="E35" s="17">
        <v>9.900166028E9</v>
      </c>
      <c r="F35" s="17" t="s">
        <v>180</v>
      </c>
      <c r="G35" s="17">
        <v>9.90090995E9</v>
      </c>
      <c r="H35" s="38">
        <v>5.0</v>
      </c>
      <c r="I35" s="49"/>
      <c r="J35" s="38">
        <v>5.0</v>
      </c>
      <c r="K35" s="49"/>
      <c r="L35" s="38">
        <v>5.0</v>
      </c>
      <c r="M35" s="49"/>
      <c r="N35" s="49"/>
      <c r="O35" s="32"/>
      <c r="P35" s="33"/>
      <c r="Q35" s="33"/>
      <c r="R35" s="35"/>
      <c r="S35" s="35"/>
      <c r="T35" s="38"/>
      <c r="U35" s="36"/>
      <c r="V35" s="35"/>
      <c r="W35" s="35"/>
      <c r="X35" s="35"/>
      <c r="Y35" s="35"/>
      <c r="Z35" s="35"/>
      <c r="AA35" s="35"/>
      <c r="AB35" s="35"/>
      <c r="AC35" s="35"/>
      <c r="AD35" s="35"/>
      <c r="AE35" s="46">
        <v>5.0</v>
      </c>
      <c r="AF35" s="40"/>
      <c r="AG35" s="40"/>
      <c r="AH35" s="40"/>
      <c r="AI35" s="41"/>
      <c r="AJ35" s="25">
        <f t="shared" si="3"/>
        <v>5</v>
      </c>
      <c r="AK35" s="42">
        <f t="shared" si="4"/>
        <v>7.142857143</v>
      </c>
      <c r="AL35" s="27">
        <f t="shared" si="5"/>
        <v>4</v>
      </c>
      <c r="AM35" s="28"/>
      <c r="AN35" s="28"/>
      <c r="AO35" s="28"/>
    </row>
    <row r="36">
      <c r="A36" s="37">
        <v>34.0</v>
      </c>
      <c r="B36" s="60" t="s">
        <v>181</v>
      </c>
      <c r="C36" s="16" t="s">
        <v>182</v>
      </c>
      <c r="D36" s="16" t="s">
        <v>183</v>
      </c>
      <c r="E36" s="17">
        <v>9.886129522E9</v>
      </c>
      <c r="F36" s="17" t="s">
        <v>184</v>
      </c>
      <c r="G36" s="17">
        <v>8.792211101E9</v>
      </c>
      <c r="H36" s="38">
        <v>5.0</v>
      </c>
      <c r="I36" s="38">
        <v>5.0</v>
      </c>
      <c r="J36" s="49"/>
      <c r="K36" s="49"/>
      <c r="L36" s="49"/>
      <c r="M36" s="49"/>
      <c r="N36" s="49"/>
      <c r="O36" s="37">
        <v>5.0</v>
      </c>
      <c r="P36" s="33"/>
      <c r="Q36" s="33"/>
      <c r="R36" s="35"/>
      <c r="S36" s="35"/>
      <c r="T36" s="38"/>
      <c r="U36" s="36">
        <v>5.0</v>
      </c>
      <c r="V36" s="35"/>
      <c r="W36" s="35"/>
      <c r="X36" s="35"/>
      <c r="Y36" s="35">
        <v>5.0</v>
      </c>
      <c r="Z36" s="35">
        <v>5.0</v>
      </c>
      <c r="AA36" s="35"/>
      <c r="AB36" s="35"/>
      <c r="AC36" s="35"/>
      <c r="AD36" s="35"/>
      <c r="AE36" s="46"/>
      <c r="AF36" s="40"/>
      <c r="AG36" s="40"/>
      <c r="AH36" s="40">
        <v>5.0</v>
      </c>
      <c r="AI36" s="41"/>
      <c r="AJ36" s="25">
        <f t="shared" si="3"/>
        <v>15</v>
      </c>
      <c r="AK36" s="42">
        <f t="shared" si="4"/>
        <v>21.42857143</v>
      </c>
      <c r="AL36" s="27">
        <f t="shared" si="5"/>
        <v>6</v>
      </c>
      <c r="AM36" s="28"/>
      <c r="AN36" s="28"/>
      <c r="AO36" s="28"/>
    </row>
    <row r="37">
      <c r="A37" s="37">
        <v>35.0</v>
      </c>
      <c r="B37" s="60" t="s">
        <v>185</v>
      </c>
      <c r="C37" s="16" t="s">
        <v>186</v>
      </c>
      <c r="D37" s="16" t="s">
        <v>187</v>
      </c>
      <c r="E37" s="17">
        <v>8.108985688E9</v>
      </c>
      <c r="F37" s="17" t="s">
        <v>188</v>
      </c>
      <c r="G37" s="17">
        <v>7.715096425E9</v>
      </c>
      <c r="H37" s="38">
        <v>5.0</v>
      </c>
      <c r="I37" s="49"/>
      <c r="J37" s="49"/>
      <c r="K37" s="49"/>
      <c r="L37" s="38">
        <v>5.0</v>
      </c>
      <c r="M37" s="49"/>
      <c r="N37" s="49"/>
      <c r="O37" s="32"/>
      <c r="P37" s="38">
        <v>5.0</v>
      </c>
      <c r="Q37" s="33"/>
      <c r="R37" s="35"/>
      <c r="S37" s="35"/>
      <c r="T37" s="38"/>
      <c r="U37" s="36">
        <v>5.0</v>
      </c>
      <c r="V37" s="35"/>
      <c r="W37" s="35"/>
      <c r="X37" s="35"/>
      <c r="Y37" s="35"/>
      <c r="Z37" s="35">
        <v>5.0</v>
      </c>
      <c r="AA37" s="35"/>
      <c r="AB37" s="35"/>
      <c r="AC37" s="35">
        <v>5.0</v>
      </c>
      <c r="AD37" s="35"/>
      <c r="AE37" s="46"/>
      <c r="AF37" s="40"/>
      <c r="AG37" s="40"/>
      <c r="AH37" s="40"/>
      <c r="AI37" s="41"/>
      <c r="AJ37" s="25">
        <f t="shared" si="3"/>
        <v>15</v>
      </c>
      <c r="AK37" s="42">
        <f t="shared" si="4"/>
        <v>21.42857143</v>
      </c>
      <c r="AL37" s="27">
        <f t="shared" si="5"/>
        <v>6</v>
      </c>
      <c r="AM37" s="28"/>
      <c r="AN37" s="28"/>
      <c r="AO37" s="28"/>
    </row>
    <row r="38">
      <c r="A38" s="37">
        <v>36.0</v>
      </c>
      <c r="B38" s="87" t="s">
        <v>189</v>
      </c>
      <c r="C38" s="16" t="s">
        <v>190</v>
      </c>
      <c r="D38" s="16" t="s">
        <v>191</v>
      </c>
      <c r="E38" s="17">
        <v>9.900132906E9</v>
      </c>
      <c r="F38" s="17" t="s">
        <v>192</v>
      </c>
      <c r="G38" s="17">
        <v>9.902227789E9</v>
      </c>
      <c r="H38" s="88">
        <v>5.0</v>
      </c>
      <c r="I38" s="88">
        <v>5.0</v>
      </c>
      <c r="J38" s="88">
        <v>5.0</v>
      </c>
      <c r="K38" s="88">
        <v>10.0</v>
      </c>
      <c r="L38" s="89"/>
      <c r="M38" s="88">
        <v>5.0</v>
      </c>
      <c r="N38" s="89"/>
      <c r="O38" s="37">
        <v>5.0</v>
      </c>
      <c r="P38" s="38">
        <v>5.0</v>
      </c>
      <c r="Q38" s="38">
        <v>5.0</v>
      </c>
      <c r="R38" s="35">
        <v>5.0</v>
      </c>
      <c r="S38" s="35">
        <v>5.0</v>
      </c>
      <c r="T38" s="38">
        <v>5.0</v>
      </c>
      <c r="U38" s="36">
        <v>5.0</v>
      </c>
      <c r="V38" s="35">
        <v>5.0</v>
      </c>
      <c r="W38" s="35">
        <v>10.0</v>
      </c>
      <c r="X38" s="35"/>
      <c r="Y38" s="35">
        <v>5.0</v>
      </c>
      <c r="Z38" s="35">
        <v>5.0</v>
      </c>
      <c r="AA38" s="35">
        <v>5.0</v>
      </c>
      <c r="AB38" s="35">
        <v>5.0</v>
      </c>
      <c r="AC38" s="35">
        <v>5.0</v>
      </c>
      <c r="AD38" s="35"/>
      <c r="AE38" s="46">
        <v>5.0</v>
      </c>
      <c r="AF38" s="40">
        <v>5.0</v>
      </c>
      <c r="AG38" s="40">
        <v>5.0</v>
      </c>
      <c r="AH38" s="40">
        <v>5.0</v>
      </c>
      <c r="AI38" s="41"/>
      <c r="AJ38" s="25">
        <f t="shared" si="3"/>
        <v>65</v>
      </c>
      <c r="AK38" s="42">
        <f t="shared" si="4"/>
        <v>92.85714286</v>
      </c>
      <c r="AL38" s="27">
        <f t="shared" si="5"/>
        <v>20</v>
      </c>
      <c r="AM38" s="28"/>
      <c r="AN38" s="28"/>
      <c r="AO38" s="28"/>
    </row>
    <row r="39">
      <c r="A39" s="37">
        <v>37.0</v>
      </c>
      <c r="B39" s="60" t="s">
        <v>193</v>
      </c>
      <c r="C39" s="90" t="s">
        <v>194</v>
      </c>
      <c r="D39" s="90" t="s">
        <v>195</v>
      </c>
      <c r="E39" s="91">
        <v>9.686962876E9</v>
      </c>
      <c r="F39" s="91" t="s">
        <v>196</v>
      </c>
      <c r="G39" s="91">
        <v>9.407001453E9</v>
      </c>
      <c r="H39" s="49"/>
      <c r="I39" s="38">
        <v>5.0</v>
      </c>
      <c r="J39" s="49"/>
      <c r="K39" s="49"/>
      <c r="L39" s="49"/>
      <c r="M39" s="49"/>
      <c r="N39" s="49"/>
      <c r="O39" s="32"/>
      <c r="P39" s="33"/>
      <c r="Q39" s="33"/>
      <c r="R39" s="35"/>
      <c r="S39" s="35"/>
      <c r="T39" s="38"/>
      <c r="U39" s="36">
        <v>5.0</v>
      </c>
      <c r="V39" s="35"/>
      <c r="W39" s="35"/>
      <c r="X39" s="35"/>
      <c r="Y39" s="35">
        <v>5.0</v>
      </c>
      <c r="Z39" s="35">
        <v>5.0</v>
      </c>
      <c r="AA39" s="35">
        <v>5.0</v>
      </c>
      <c r="AB39" s="35"/>
      <c r="AC39" s="35"/>
      <c r="AD39" s="35"/>
      <c r="AE39" s="46"/>
      <c r="AF39" s="40"/>
      <c r="AG39" s="40"/>
      <c r="AH39" s="40"/>
      <c r="AI39" s="41"/>
      <c r="AJ39" s="25">
        <f t="shared" si="3"/>
        <v>20</v>
      </c>
      <c r="AK39" s="42">
        <f t="shared" si="4"/>
        <v>28.57142857</v>
      </c>
      <c r="AL39" s="27">
        <f t="shared" si="5"/>
        <v>5</v>
      </c>
      <c r="AM39" s="28"/>
      <c r="AN39" s="28"/>
      <c r="AO39" s="28"/>
    </row>
    <row r="40">
      <c r="A40" s="37">
        <v>38.0</v>
      </c>
      <c r="B40" s="60" t="s">
        <v>197</v>
      </c>
      <c r="C40" s="90" t="s">
        <v>198</v>
      </c>
      <c r="D40" s="90" t="s">
        <v>199</v>
      </c>
      <c r="E40" s="91">
        <v>9.986033193E9</v>
      </c>
      <c r="F40" s="91" t="s">
        <v>200</v>
      </c>
      <c r="G40" s="91">
        <v>9.886703193E9</v>
      </c>
      <c r="H40" s="49"/>
      <c r="I40" s="38">
        <v>5.0</v>
      </c>
      <c r="J40" s="49"/>
      <c r="K40" s="49"/>
      <c r="L40" s="49"/>
      <c r="M40" s="49"/>
      <c r="N40" s="49"/>
      <c r="O40" s="37">
        <v>5.0</v>
      </c>
      <c r="P40" s="33"/>
      <c r="Q40" s="38">
        <v>5.0</v>
      </c>
      <c r="R40" s="35"/>
      <c r="S40" s="35"/>
      <c r="T40" s="38"/>
      <c r="U40" s="36">
        <v>5.0</v>
      </c>
      <c r="V40" s="35"/>
      <c r="W40" s="35"/>
      <c r="X40" s="35"/>
      <c r="Y40" s="35"/>
      <c r="Z40" s="35">
        <v>5.0</v>
      </c>
      <c r="AA40" s="35"/>
      <c r="AB40" s="35"/>
      <c r="AC40" s="35"/>
      <c r="AD40" s="35"/>
      <c r="AE40" s="46"/>
      <c r="AF40" s="40"/>
      <c r="AG40" s="40"/>
      <c r="AH40" s="40">
        <v>5.0</v>
      </c>
      <c r="AI40" s="41"/>
      <c r="AJ40" s="25">
        <f t="shared" si="3"/>
        <v>10</v>
      </c>
      <c r="AK40" s="42">
        <f t="shared" si="4"/>
        <v>14.28571429</v>
      </c>
      <c r="AL40" s="27">
        <f t="shared" si="5"/>
        <v>5</v>
      </c>
      <c r="AM40" s="28"/>
      <c r="AN40" s="28"/>
      <c r="AO40" s="28"/>
    </row>
    <row r="41">
      <c r="A41" s="37">
        <v>39.0</v>
      </c>
      <c r="B41" s="60" t="s">
        <v>201</v>
      </c>
      <c r="C41" s="90" t="s">
        <v>202</v>
      </c>
      <c r="D41" s="90" t="s">
        <v>203</v>
      </c>
      <c r="E41" s="91">
        <v>9.743531517E9</v>
      </c>
      <c r="F41" s="91" t="s">
        <v>204</v>
      </c>
      <c r="G41" s="91">
        <v>9.542531791E9</v>
      </c>
      <c r="H41" s="49"/>
      <c r="I41" s="38">
        <v>5.0</v>
      </c>
      <c r="J41" s="49"/>
      <c r="K41" s="49"/>
      <c r="L41" s="49"/>
      <c r="M41" s="49"/>
      <c r="N41" s="49"/>
      <c r="O41" s="32"/>
      <c r="P41" s="33"/>
      <c r="Q41" s="33"/>
      <c r="R41" s="35"/>
      <c r="S41" s="35"/>
      <c r="T41" s="38"/>
      <c r="U41" s="36">
        <v>5.0</v>
      </c>
      <c r="V41" s="35"/>
      <c r="W41" s="35"/>
      <c r="X41" s="35"/>
      <c r="Y41" s="35">
        <v>5.0</v>
      </c>
      <c r="Z41" s="35">
        <v>5.0</v>
      </c>
      <c r="AA41" s="35"/>
      <c r="AB41" s="35"/>
      <c r="AC41" s="35"/>
      <c r="AD41" s="35"/>
      <c r="AE41" s="46"/>
      <c r="AF41" s="40"/>
      <c r="AG41" s="40"/>
      <c r="AH41" s="40"/>
      <c r="AI41" s="41"/>
      <c r="AJ41" s="25">
        <f t="shared" si="3"/>
        <v>15</v>
      </c>
      <c r="AK41" s="42">
        <f t="shared" si="4"/>
        <v>21.42857143</v>
      </c>
      <c r="AL41" s="27">
        <f t="shared" si="5"/>
        <v>4</v>
      </c>
      <c r="AM41" s="28"/>
      <c r="AN41" s="28"/>
      <c r="AO41" s="28"/>
    </row>
    <row r="42">
      <c r="A42" s="37">
        <v>40.0</v>
      </c>
      <c r="B42" s="60" t="s">
        <v>205</v>
      </c>
      <c r="C42" s="90" t="s">
        <v>206</v>
      </c>
      <c r="D42" s="90" t="s">
        <v>207</v>
      </c>
      <c r="E42" s="91">
        <v>9.740923451E9</v>
      </c>
      <c r="F42" s="91" t="s">
        <v>208</v>
      </c>
      <c r="G42" s="91">
        <v>9.901730127E9</v>
      </c>
      <c r="H42" s="49"/>
      <c r="I42" s="38">
        <v>5.0</v>
      </c>
      <c r="J42" s="49"/>
      <c r="K42" s="49"/>
      <c r="L42" s="49"/>
      <c r="M42" s="49"/>
      <c r="N42" s="49"/>
      <c r="O42" s="32"/>
      <c r="P42" s="33"/>
      <c r="Q42" s="33"/>
      <c r="R42" s="35"/>
      <c r="S42" s="35"/>
      <c r="T42" s="38"/>
      <c r="U42" s="36"/>
      <c r="V42" s="35"/>
      <c r="W42" s="35"/>
      <c r="X42" s="35"/>
      <c r="Y42" s="35"/>
      <c r="Z42" s="35"/>
      <c r="AA42" s="35"/>
      <c r="AB42" s="35"/>
      <c r="AC42" s="35"/>
      <c r="AD42" s="35"/>
      <c r="AE42" s="46"/>
      <c r="AF42" s="40"/>
      <c r="AG42" s="40"/>
      <c r="AH42" s="40"/>
      <c r="AI42" s="41"/>
      <c r="AJ42" s="25">
        <f t="shared" si="3"/>
        <v>0</v>
      </c>
      <c r="AK42" s="42">
        <f t="shared" si="4"/>
        <v>0</v>
      </c>
      <c r="AL42" s="27">
        <f t="shared" si="5"/>
        <v>1</v>
      </c>
      <c r="AM42" s="28"/>
      <c r="AN42" s="28"/>
      <c r="AO42" s="28"/>
    </row>
    <row r="43">
      <c r="A43" s="37">
        <v>41.0</v>
      </c>
      <c r="B43" s="60" t="s">
        <v>209</v>
      </c>
      <c r="C43" s="90" t="s">
        <v>210</v>
      </c>
      <c r="D43" s="90" t="s">
        <v>211</v>
      </c>
      <c r="E43" s="91">
        <v>9.448609646E9</v>
      </c>
      <c r="F43" s="91" t="s">
        <v>212</v>
      </c>
      <c r="G43" s="91">
        <v>9.611980263E9</v>
      </c>
      <c r="H43" s="49"/>
      <c r="I43" s="38">
        <v>5.0</v>
      </c>
      <c r="J43" s="49"/>
      <c r="K43" s="38">
        <v>10.0</v>
      </c>
      <c r="L43" s="49"/>
      <c r="M43" s="49"/>
      <c r="N43" s="49"/>
      <c r="O43" s="32"/>
      <c r="P43" s="33"/>
      <c r="Q43" s="33"/>
      <c r="R43" s="35"/>
      <c r="S43" s="35">
        <v>5.0</v>
      </c>
      <c r="T43" s="38">
        <v>5.0</v>
      </c>
      <c r="U43" s="36"/>
      <c r="V43" s="35"/>
      <c r="W43" s="35"/>
      <c r="X43" s="35"/>
      <c r="Y43" s="35"/>
      <c r="Z43" s="35"/>
      <c r="AA43" s="35"/>
      <c r="AB43" s="35"/>
      <c r="AC43" s="35"/>
      <c r="AD43" s="35">
        <v>10.0</v>
      </c>
      <c r="AE43" s="46">
        <v>5.0</v>
      </c>
      <c r="AF43" s="86">
        <v>7.5</v>
      </c>
      <c r="AG43" s="40">
        <v>5.0</v>
      </c>
      <c r="AH43" s="40"/>
      <c r="AI43" s="41"/>
      <c r="AJ43" s="25">
        <f t="shared" si="3"/>
        <v>25</v>
      </c>
      <c r="AK43" s="42">
        <f t="shared" si="4"/>
        <v>35.71428571</v>
      </c>
      <c r="AL43" s="27">
        <f t="shared" si="5"/>
        <v>6</v>
      </c>
      <c r="AM43" s="28"/>
      <c r="AN43" s="28"/>
      <c r="AO43" s="28"/>
    </row>
    <row r="44">
      <c r="A44" s="37">
        <v>42.0</v>
      </c>
      <c r="B44" s="60" t="s">
        <v>213</v>
      </c>
      <c r="C44" s="90" t="s">
        <v>214</v>
      </c>
      <c r="D44" s="90" t="s">
        <v>215</v>
      </c>
      <c r="E44" s="91">
        <v>8.861749455E9</v>
      </c>
      <c r="F44" s="91" t="s">
        <v>216</v>
      </c>
      <c r="G44" s="91">
        <v>9.98650668E9</v>
      </c>
      <c r="H44" s="49"/>
      <c r="I44" s="38">
        <v>5.0</v>
      </c>
      <c r="J44" s="49"/>
      <c r="K44" s="49"/>
      <c r="L44" s="49"/>
      <c r="M44" s="49"/>
      <c r="N44" s="49"/>
      <c r="O44" s="32"/>
      <c r="P44" s="33"/>
      <c r="Q44" s="33"/>
      <c r="R44" s="35"/>
      <c r="S44" s="35"/>
      <c r="T44" s="38"/>
      <c r="U44" s="36"/>
      <c r="V44" s="35"/>
      <c r="W44" s="35"/>
      <c r="X44" s="35"/>
      <c r="Y44" s="35"/>
      <c r="Z44" s="35"/>
      <c r="AA44" s="35"/>
      <c r="AB44" s="35"/>
      <c r="AC44" s="35"/>
      <c r="AD44" s="35"/>
      <c r="AE44" s="46"/>
      <c r="AF44" s="40"/>
      <c r="AG44" s="40"/>
      <c r="AH44" s="40"/>
      <c r="AI44" s="41"/>
      <c r="AJ44" s="25">
        <f t="shared" si="3"/>
        <v>0</v>
      </c>
      <c r="AK44" s="42">
        <f t="shared" si="4"/>
        <v>0</v>
      </c>
      <c r="AL44" s="27">
        <f t="shared" si="5"/>
        <v>1</v>
      </c>
      <c r="AM44" s="28"/>
      <c r="AN44" s="28"/>
      <c r="AO44" s="28"/>
    </row>
    <row r="45">
      <c r="A45" s="37">
        <v>43.0</v>
      </c>
      <c r="B45" s="60" t="s">
        <v>217</v>
      </c>
      <c r="C45" s="90" t="s">
        <v>218</v>
      </c>
      <c r="D45" s="90" t="s">
        <v>219</v>
      </c>
      <c r="E45" s="91">
        <v>9.886324732E9</v>
      </c>
      <c r="F45" s="91" t="s">
        <v>220</v>
      </c>
      <c r="G45" s="91">
        <v>9.886175332E9</v>
      </c>
      <c r="H45" s="49"/>
      <c r="I45" s="38">
        <v>5.0</v>
      </c>
      <c r="J45" s="49"/>
      <c r="K45" s="49"/>
      <c r="L45" s="49"/>
      <c r="M45" s="49"/>
      <c r="N45" s="49"/>
      <c r="O45" s="37">
        <v>5.0</v>
      </c>
      <c r="P45" s="33"/>
      <c r="Q45" s="38">
        <v>5.0</v>
      </c>
      <c r="R45" s="35"/>
      <c r="S45" s="35"/>
      <c r="T45" s="38"/>
      <c r="U45" s="36">
        <v>5.0</v>
      </c>
      <c r="V45" s="35"/>
      <c r="W45" s="35"/>
      <c r="X45" s="35"/>
      <c r="Y45" s="35">
        <v>5.0</v>
      </c>
      <c r="Z45" s="35">
        <v>5.0</v>
      </c>
      <c r="AA45" s="35"/>
      <c r="AB45" s="35"/>
      <c r="AC45" s="35"/>
      <c r="AD45" s="35"/>
      <c r="AE45" s="46"/>
      <c r="AF45" s="40"/>
      <c r="AG45" s="40"/>
      <c r="AH45" s="40">
        <v>5.0</v>
      </c>
      <c r="AI45" s="41"/>
      <c r="AJ45" s="25">
        <f t="shared" si="3"/>
        <v>15</v>
      </c>
      <c r="AK45" s="42">
        <f t="shared" si="4"/>
        <v>21.42857143</v>
      </c>
      <c r="AL45" s="27">
        <f t="shared" si="5"/>
        <v>6</v>
      </c>
      <c r="AM45" s="28"/>
      <c r="AN45" s="28"/>
      <c r="AO45" s="28"/>
    </row>
    <row r="46">
      <c r="A46" s="37">
        <v>44.0</v>
      </c>
      <c r="B46" s="60" t="s">
        <v>221</v>
      </c>
      <c r="C46" s="90" t="s">
        <v>222</v>
      </c>
      <c r="D46" s="90" t="s">
        <v>223</v>
      </c>
      <c r="E46" s="91">
        <v>9.739767146E9</v>
      </c>
      <c r="F46" s="91">
        <v>9.84532782E9</v>
      </c>
      <c r="G46" s="91">
        <v>9.84532782E9</v>
      </c>
      <c r="H46" s="49"/>
      <c r="I46" s="38">
        <v>5.0</v>
      </c>
      <c r="J46" s="49"/>
      <c r="K46" s="49"/>
      <c r="L46" s="49"/>
      <c r="M46" s="49"/>
      <c r="N46" s="49"/>
      <c r="O46" s="32"/>
      <c r="P46" s="33"/>
      <c r="Q46" s="33"/>
      <c r="R46" s="35"/>
      <c r="S46" s="35"/>
      <c r="T46" s="38"/>
      <c r="U46" s="36"/>
      <c r="V46" s="35"/>
      <c r="W46" s="35"/>
      <c r="X46" s="35"/>
      <c r="Y46" s="35"/>
      <c r="Z46" s="35">
        <v>5.0</v>
      </c>
      <c r="AA46" s="35"/>
      <c r="AB46" s="35"/>
      <c r="AC46" s="35"/>
      <c r="AD46" s="35"/>
      <c r="AE46" s="46"/>
      <c r="AF46" s="40"/>
      <c r="AG46" s="40"/>
      <c r="AH46" s="40"/>
      <c r="AI46" s="41"/>
      <c r="AJ46" s="25">
        <f t="shared" si="3"/>
        <v>5</v>
      </c>
      <c r="AK46" s="42">
        <f t="shared" si="4"/>
        <v>7.142857143</v>
      </c>
      <c r="AL46" s="27">
        <f t="shared" si="5"/>
        <v>2</v>
      </c>
      <c r="AM46" s="28"/>
      <c r="AN46" s="28"/>
      <c r="AO46" s="28"/>
    </row>
    <row r="47">
      <c r="A47" s="37">
        <v>45.0</v>
      </c>
      <c r="B47" s="60" t="s">
        <v>224</v>
      </c>
      <c r="C47" s="90" t="s">
        <v>225</v>
      </c>
      <c r="D47" s="90" t="s">
        <v>226</v>
      </c>
      <c r="E47" s="91">
        <v>9.53561325E9</v>
      </c>
      <c r="F47" s="91" t="s">
        <v>227</v>
      </c>
      <c r="G47" s="91">
        <v>9.535038735E9</v>
      </c>
      <c r="H47" s="49"/>
      <c r="I47" s="38">
        <v>5.0</v>
      </c>
      <c r="J47" s="49"/>
      <c r="K47" s="49"/>
      <c r="L47" s="49"/>
      <c r="M47" s="49"/>
      <c r="N47" s="49"/>
      <c r="O47" s="32"/>
      <c r="P47" s="33"/>
      <c r="Q47" s="33"/>
      <c r="R47" s="35"/>
      <c r="S47" s="35"/>
      <c r="T47" s="38"/>
      <c r="U47" s="36"/>
      <c r="V47" s="35"/>
      <c r="W47" s="35"/>
      <c r="X47" s="35"/>
      <c r="Y47" s="35"/>
      <c r="Z47" s="35"/>
      <c r="AA47" s="35"/>
      <c r="AB47" s="35"/>
      <c r="AC47" s="35"/>
      <c r="AD47" s="35"/>
      <c r="AE47" s="46"/>
      <c r="AF47" s="40"/>
      <c r="AG47" s="40"/>
      <c r="AH47" s="40"/>
      <c r="AI47" s="41"/>
      <c r="AJ47" s="25">
        <f t="shared" si="3"/>
        <v>0</v>
      </c>
      <c r="AK47" s="42">
        <f t="shared" si="4"/>
        <v>0</v>
      </c>
      <c r="AL47" s="27">
        <f t="shared" si="5"/>
        <v>1</v>
      </c>
      <c r="AM47" s="28"/>
      <c r="AN47" s="28"/>
      <c r="AO47" s="28"/>
    </row>
    <row r="48">
      <c r="A48" s="37">
        <v>46.0</v>
      </c>
      <c r="B48" s="60" t="s">
        <v>228</v>
      </c>
      <c r="C48" s="90" t="s">
        <v>229</v>
      </c>
      <c r="D48" s="90" t="s">
        <v>230</v>
      </c>
      <c r="E48" s="91">
        <v>9.901730127E9</v>
      </c>
      <c r="F48" s="91" t="s">
        <v>231</v>
      </c>
      <c r="G48" s="91">
        <v>9.902212831E9</v>
      </c>
      <c r="H48" s="49"/>
      <c r="I48" s="38">
        <v>5.0</v>
      </c>
      <c r="J48" s="38"/>
      <c r="K48" s="49"/>
      <c r="L48" s="49"/>
      <c r="M48" s="49"/>
      <c r="N48" s="49"/>
      <c r="O48" s="32"/>
      <c r="P48" s="33"/>
      <c r="Q48" s="33"/>
      <c r="R48" s="35"/>
      <c r="S48" s="35"/>
      <c r="T48" s="38"/>
      <c r="U48" s="36"/>
      <c r="V48" s="35"/>
      <c r="W48" s="35"/>
      <c r="X48" s="35"/>
      <c r="Y48" s="35"/>
      <c r="Z48" s="35"/>
      <c r="AA48" s="35"/>
      <c r="AB48" s="35"/>
      <c r="AC48" s="35"/>
      <c r="AD48" s="35"/>
      <c r="AE48" s="46"/>
      <c r="AF48" s="40"/>
      <c r="AG48" s="40"/>
      <c r="AH48" s="40"/>
      <c r="AI48" s="41"/>
      <c r="AJ48" s="25">
        <f t="shared" si="3"/>
        <v>0</v>
      </c>
      <c r="AK48" s="42">
        <f t="shared" si="4"/>
        <v>0</v>
      </c>
      <c r="AL48" s="27">
        <f t="shared" si="5"/>
        <v>1</v>
      </c>
      <c r="AM48" s="28"/>
      <c r="AN48" s="28"/>
      <c r="AO48" s="28"/>
    </row>
    <row r="49">
      <c r="A49" s="37">
        <v>47.0</v>
      </c>
      <c r="B49" s="60" t="s">
        <v>232</v>
      </c>
      <c r="C49" s="90" t="s">
        <v>233</v>
      </c>
      <c r="D49" s="90" t="s">
        <v>234</v>
      </c>
      <c r="E49" s="91">
        <v>8.334900877E9</v>
      </c>
      <c r="F49" s="91" t="s">
        <v>235</v>
      </c>
      <c r="G49" s="91">
        <v>9.831351413E9</v>
      </c>
      <c r="H49" s="49"/>
      <c r="I49" s="49"/>
      <c r="J49" s="38">
        <v>5.0</v>
      </c>
      <c r="K49" s="49"/>
      <c r="L49" s="49"/>
      <c r="M49" s="49"/>
      <c r="N49" s="49"/>
      <c r="O49" s="32"/>
      <c r="P49" s="33"/>
      <c r="Q49" s="33"/>
      <c r="R49" s="35"/>
      <c r="S49" s="35"/>
      <c r="T49" s="38"/>
      <c r="U49" s="36"/>
      <c r="V49" s="35"/>
      <c r="W49" s="35"/>
      <c r="X49" s="35"/>
      <c r="Y49" s="35"/>
      <c r="Z49" s="35"/>
      <c r="AA49" s="35"/>
      <c r="AB49" s="35"/>
      <c r="AC49" s="35"/>
      <c r="AD49" s="35"/>
      <c r="AE49" s="46"/>
      <c r="AF49" s="40"/>
      <c r="AG49" s="40"/>
      <c r="AH49" s="40"/>
      <c r="AI49" s="41"/>
      <c r="AJ49" s="25">
        <f t="shared" si="3"/>
        <v>0</v>
      </c>
      <c r="AK49" s="42">
        <f t="shared" si="4"/>
        <v>0</v>
      </c>
      <c r="AL49" s="27">
        <f t="shared" si="5"/>
        <v>1</v>
      </c>
      <c r="AM49" s="28"/>
      <c r="AN49" s="28"/>
      <c r="AO49" s="28"/>
    </row>
    <row r="50">
      <c r="A50" s="37">
        <v>48.0</v>
      </c>
      <c r="B50" s="60" t="s">
        <v>236</v>
      </c>
      <c r="C50" s="90" t="s">
        <v>237</v>
      </c>
      <c r="D50" s="90" t="s">
        <v>238</v>
      </c>
      <c r="E50" s="91">
        <v>9.741988761E9</v>
      </c>
      <c r="F50" s="91" t="s">
        <v>239</v>
      </c>
      <c r="G50" s="91">
        <v>9.986381955E9</v>
      </c>
      <c r="H50" s="49"/>
      <c r="I50" s="49"/>
      <c r="J50" s="38">
        <v>5.0</v>
      </c>
      <c r="K50" s="38">
        <v>10.0</v>
      </c>
      <c r="L50" s="49"/>
      <c r="M50" s="38">
        <v>5.0</v>
      </c>
      <c r="N50" s="49"/>
      <c r="O50" s="32"/>
      <c r="P50" s="38">
        <v>5.0</v>
      </c>
      <c r="Q50" s="38">
        <v>5.0</v>
      </c>
      <c r="R50" s="35"/>
      <c r="S50" s="35"/>
      <c r="T50" s="38">
        <v>5.0</v>
      </c>
      <c r="U50" s="36">
        <v>5.0</v>
      </c>
      <c r="V50" s="35"/>
      <c r="W50" s="35"/>
      <c r="X50" s="35">
        <v>5.0</v>
      </c>
      <c r="Y50" s="35"/>
      <c r="Z50" s="35"/>
      <c r="AA50" s="35"/>
      <c r="AB50" s="35">
        <v>5.0</v>
      </c>
      <c r="AC50" s="35"/>
      <c r="AD50" s="35"/>
      <c r="AE50" s="46"/>
      <c r="AF50" s="40"/>
      <c r="AG50" s="40"/>
      <c r="AH50" s="40"/>
      <c r="AI50" s="41"/>
      <c r="AJ50" s="25">
        <f t="shared" si="3"/>
        <v>20</v>
      </c>
      <c r="AK50" s="42">
        <f t="shared" si="4"/>
        <v>28.57142857</v>
      </c>
      <c r="AL50" s="27">
        <f t="shared" si="5"/>
        <v>9</v>
      </c>
      <c r="AM50" s="28"/>
      <c r="AN50" s="28"/>
      <c r="AO50" s="28"/>
    </row>
    <row r="51">
      <c r="A51" s="37">
        <v>49.0</v>
      </c>
      <c r="B51" s="60" t="s">
        <v>240</v>
      </c>
      <c r="C51" s="90" t="s">
        <v>241</v>
      </c>
      <c r="D51" s="90" t="s">
        <v>238</v>
      </c>
      <c r="E51" s="91">
        <v>9.741988761E9</v>
      </c>
      <c r="F51" s="91" t="s">
        <v>242</v>
      </c>
      <c r="G51" s="91">
        <v>9.353779469E9</v>
      </c>
      <c r="H51" s="49"/>
      <c r="I51" s="49"/>
      <c r="J51" s="38">
        <v>5.0</v>
      </c>
      <c r="K51" s="49"/>
      <c r="L51" s="49"/>
      <c r="M51" s="49"/>
      <c r="N51" s="49"/>
      <c r="O51" s="32"/>
      <c r="P51" s="33"/>
      <c r="Q51" s="38">
        <v>5.0</v>
      </c>
      <c r="R51" s="35"/>
      <c r="S51" s="35"/>
      <c r="T51" s="38"/>
      <c r="U51" s="92">
        <v>5.0</v>
      </c>
      <c r="V51" s="38"/>
      <c r="W51" s="38"/>
      <c r="X51" s="38"/>
      <c r="Y51" s="35"/>
      <c r="Z51" s="35"/>
      <c r="AA51" s="35"/>
      <c r="AB51" s="35"/>
      <c r="AC51" s="35"/>
      <c r="AD51" s="35"/>
      <c r="AE51" s="46"/>
      <c r="AF51" s="40"/>
      <c r="AG51" s="40"/>
      <c r="AH51" s="40"/>
      <c r="AI51" s="41"/>
      <c r="AJ51" s="25">
        <f t="shared" si="3"/>
        <v>5</v>
      </c>
      <c r="AK51" s="42">
        <f t="shared" si="4"/>
        <v>7.142857143</v>
      </c>
      <c r="AL51" s="27">
        <f t="shared" si="5"/>
        <v>3</v>
      </c>
      <c r="AM51" s="28"/>
      <c r="AN51" s="28"/>
      <c r="AO51" s="28"/>
    </row>
    <row r="52">
      <c r="A52" s="37">
        <v>50.0</v>
      </c>
      <c r="B52" s="60" t="s">
        <v>243</v>
      </c>
      <c r="C52" s="90" t="s">
        <v>244</v>
      </c>
      <c r="D52" s="90" t="s">
        <v>245</v>
      </c>
      <c r="E52" s="91">
        <v>9.739006213E9</v>
      </c>
      <c r="F52" s="91" t="s">
        <v>246</v>
      </c>
      <c r="G52" s="91">
        <v>9.916988807E9</v>
      </c>
      <c r="H52" s="49"/>
      <c r="I52" s="49"/>
      <c r="J52" s="49"/>
      <c r="K52" s="49"/>
      <c r="L52" s="49"/>
      <c r="M52" s="38">
        <v>5.0</v>
      </c>
      <c r="N52" s="38">
        <v>5.0</v>
      </c>
      <c r="O52" s="37">
        <v>5.0</v>
      </c>
      <c r="P52" s="33"/>
      <c r="Q52" s="33"/>
      <c r="R52" s="35"/>
      <c r="S52" s="35"/>
      <c r="T52" s="38"/>
      <c r="U52" s="92">
        <v>5.0</v>
      </c>
      <c r="V52" s="38"/>
      <c r="W52" s="38"/>
      <c r="X52" s="38"/>
      <c r="Y52" s="35"/>
      <c r="Z52" s="35"/>
      <c r="AA52" s="35"/>
      <c r="AB52" s="35"/>
      <c r="AC52" s="35"/>
      <c r="AD52" s="35"/>
      <c r="AE52" s="46"/>
      <c r="AF52" s="40"/>
      <c r="AG52" s="40"/>
      <c r="AH52" s="40"/>
      <c r="AI52" s="41"/>
      <c r="AJ52" s="25">
        <f t="shared" si="3"/>
        <v>5</v>
      </c>
      <c r="AK52" s="42">
        <f t="shared" si="4"/>
        <v>7.142857143</v>
      </c>
      <c r="AL52" s="27">
        <f t="shared" si="5"/>
        <v>4</v>
      </c>
      <c r="AM52" s="28"/>
      <c r="AN52" s="28"/>
      <c r="AO52" s="28"/>
    </row>
    <row r="53">
      <c r="A53" s="37">
        <v>51.0</v>
      </c>
      <c r="B53" s="60" t="s">
        <v>247</v>
      </c>
      <c r="C53" s="90" t="s">
        <v>248</v>
      </c>
      <c r="D53" s="90" t="s">
        <v>249</v>
      </c>
      <c r="E53" s="91">
        <v>9.611114774E9</v>
      </c>
      <c r="F53" s="91" t="s">
        <v>250</v>
      </c>
      <c r="G53" s="91">
        <v>8.763330493E9</v>
      </c>
      <c r="H53" s="49"/>
      <c r="I53" s="49"/>
      <c r="J53" s="49"/>
      <c r="K53" s="49"/>
      <c r="L53" s="38">
        <v>5.0</v>
      </c>
      <c r="M53" s="49"/>
      <c r="N53" s="49"/>
      <c r="O53" s="32"/>
      <c r="P53" s="38">
        <v>5.0</v>
      </c>
      <c r="Q53" s="33"/>
      <c r="R53" s="35"/>
      <c r="S53" s="35"/>
      <c r="T53" s="38"/>
      <c r="U53" s="92"/>
      <c r="V53" s="38"/>
      <c r="W53" s="38"/>
      <c r="X53" s="38"/>
      <c r="Y53" s="35"/>
      <c r="Z53" s="35"/>
      <c r="AA53" s="35"/>
      <c r="AB53" s="35"/>
      <c r="AC53" s="35"/>
      <c r="AD53" s="35"/>
      <c r="AE53" s="46"/>
      <c r="AF53" s="40"/>
      <c r="AG53" s="40"/>
      <c r="AH53" s="40"/>
      <c r="AI53" s="41"/>
      <c r="AJ53" s="25">
        <f t="shared" si="3"/>
        <v>0</v>
      </c>
      <c r="AK53" s="42">
        <f t="shared" si="4"/>
        <v>0</v>
      </c>
      <c r="AL53" s="27">
        <f t="shared" si="5"/>
        <v>2</v>
      </c>
      <c r="AM53" s="28"/>
      <c r="AN53" s="28"/>
      <c r="AO53" s="28"/>
    </row>
    <row r="54">
      <c r="A54" s="37">
        <v>52.0</v>
      </c>
      <c r="B54" s="60" t="s">
        <v>251</v>
      </c>
      <c r="C54" s="90" t="s">
        <v>252</v>
      </c>
      <c r="D54" s="90" t="s">
        <v>253</v>
      </c>
      <c r="E54" s="91">
        <v>9.845744119E9</v>
      </c>
      <c r="F54" s="91" t="s">
        <v>254</v>
      </c>
      <c r="G54" s="91">
        <v>7.204636253E9</v>
      </c>
      <c r="H54" s="49"/>
      <c r="I54" s="49"/>
      <c r="J54" s="49"/>
      <c r="K54" s="49"/>
      <c r="L54" s="38">
        <v>5.0</v>
      </c>
      <c r="M54" s="49"/>
      <c r="N54" s="49"/>
      <c r="O54" s="32"/>
      <c r="P54" s="33"/>
      <c r="Q54" s="33"/>
      <c r="R54" s="35"/>
      <c r="S54" s="35"/>
      <c r="T54" s="38"/>
      <c r="U54" s="92"/>
      <c r="V54" s="38"/>
      <c r="W54" s="38"/>
      <c r="X54" s="38"/>
      <c r="Y54" s="35"/>
      <c r="Z54" s="35"/>
      <c r="AA54" s="35"/>
      <c r="AB54" s="35"/>
      <c r="AC54" s="35"/>
      <c r="AD54" s="35"/>
      <c r="AE54" s="46"/>
      <c r="AF54" s="40"/>
      <c r="AG54" s="40"/>
      <c r="AH54" s="40"/>
      <c r="AI54" s="41"/>
      <c r="AJ54" s="25">
        <f t="shared" si="3"/>
        <v>0</v>
      </c>
      <c r="AK54" s="42">
        <f t="shared" si="4"/>
        <v>0</v>
      </c>
      <c r="AL54" s="27">
        <f t="shared" si="5"/>
        <v>1</v>
      </c>
      <c r="AM54" s="28"/>
      <c r="AN54" s="28"/>
      <c r="AO54" s="28"/>
    </row>
    <row r="55">
      <c r="A55" s="37">
        <v>53.0</v>
      </c>
      <c r="B55" s="60" t="s">
        <v>255</v>
      </c>
      <c r="C55" s="90" t="s">
        <v>256</v>
      </c>
      <c r="D55" s="90" t="s">
        <v>257</v>
      </c>
      <c r="E55" s="91">
        <v>8.050804402E9</v>
      </c>
      <c r="F55" s="91" t="s">
        <v>255</v>
      </c>
      <c r="G55" s="91">
        <v>9.8802846E9</v>
      </c>
      <c r="H55" s="49"/>
      <c r="I55" s="49"/>
      <c r="J55" s="49"/>
      <c r="K55" s="49"/>
      <c r="L55" s="38">
        <v>5.0</v>
      </c>
      <c r="M55" s="49"/>
      <c r="N55" s="49"/>
      <c r="O55" s="32"/>
      <c r="P55" s="33"/>
      <c r="Q55" s="33"/>
      <c r="R55" s="35"/>
      <c r="S55" s="35"/>
      <c r="T55" s="38"/>
      <c r="U55" s="92"/>
      <c r="V55" s="38"/>
      <c r="W55" s="38"/>
      <c r="X55" s="38"/>
      <c r="Y55" s="35"/>
      <c r="Z55" s="35"/>
      <c r="AA55" s="35"/>
      <c r="AB55" s="35"/>
      <c r="AC55" s="35"/>
      <c r="AD55" s="35"/>
      <c r="AE55" s="46"/>
      <c r="AF55" s="40"/>
      <c r="AG55" s="40"/>
      <c r="AH55" s="40"/>
      <c r="AI55" s="41"/>
      <c r="AJ55" s="25">
        <f t="shared" si="3"/>
        <v>0</v>
      </c>
      <c r="AK55" s="42">
        <f t="shared" si="4"/>
        <v>0</v>
      </c>
      <c r="AL55" s="27">
        <f t="shared" si="5"/>
        <v>1</v>
      </c>
      <c r="AM55" s="28"/>
      <c r="AN55" s="28"/>
      <c r="AO55" s="28"/>
    </row>
    <row r="56">
      <c r="A56" s="37">
        <v>54.0</v>
      </c>
      <c r="B56" s="60" t="s">
        <v>258</v>
      </c>
      <c r="C56" s="90" t="s">
        <v>259</v>
      </c>
      <c r="D56" s="90" t="s">
        <v>260</v>
      </c>
      <c r="E56" s="91">
        <v>8.660875992E9</v>
      </c>
      <c r="F56" s="91" t="s">
        <v>261</v>
      </c>
      <c r="G56" s="91">
        <v>9.739723201E9</v>
      </c>
      <c r="H56" s="49"/>
      <c r="I56" s="49"/>
      <c r="J56" s="49"/>
      <c r="K56" s="49"/>
      <c r="L56" s="38">
        <v>5.0</v>
      </c>
      <c r="M56" s="49"/>
      <c r="N56" s="49"/>
      <c r="O56" s="32"/>
      <c r="P56" s="33"/>
      <c r="Q56" s="33"/>
      <c r="R56" s="35"/>
      <c r="S56" s="35"/>
      <c r="T56" s="38"/>
      <c r="U56" s="92"/>
      <c r="V56" s="38"/>
      <c r="W56" s="38"/>
      <c r="X56" s="38"/>
      <c r="Y56" s="35"/>
      <c r="Z56" s="35"/>
      <c r="AA56" s="35"/>
      <c r="AB56" s="35"/>
      <c r="AC56" s="35"/>
      <c r="AD56" s="35"/>
      <c r="AE56" s="46"/>
      <c r="AF56" s="40"/>
      <c r="AG56" s="40"/>
      <c r="AH56" s="40"/>
      <c r="AI56" s="41"/>
      <c r="AJ56" s="25">
        <f t="shared" si="3"/>
        <v>0</v>
      </c>
      <c r="AK56" s="42">
        <f t="shared" si="4"/>
        <v>0</v>
      </c>
      <c r="AL56" s="27">
        <f t="shared" si="5"/>
        <v>1</v>
      </c>
      <c r="AM56" s="28"/>
      <c r="AN56" s="28"/>
      <c r="AO56" s="28"/>
    </row>
    <row r="57">
      <c r="A57" s="37">
        <v>55.0</v>
      </c>
      <c r="B57" s="60" t="s">
        <v>262</v>
      </c>
      <c r="C57" s="90" t="s">
        <v>263</v>
      </c>
      <c r="D57" s="90" t="s">
        <v>264</v>
      </c>
      <c r="E57" s="91">
        <v>8.447744383E9</v>
      </c>
      <c r="F57" s="91" t="s">
        <v>265</v>
      </c>
      <c r="G57" s="91">
        <v>8.547172255E9</v>
      </c>
      <c r="H57" s="49"/>
      <c r="I57" s="49"/>
      <c r="J57" s="49"/>
      <c r="K57" s="49"/>
      <c r="L57" s="38">
        <v>5.0</v>
      </c>
      <c r="M57" s="49"/>
      <c r="N57" s="38">
        <v>5.0</v>
      </c>
      <c r="O57" s="32"/>
      <c r="P57" s="33"/>
      <c r="Q57" s="33"/>
      <c r="R57" s="35"/>
      <c r="S57" s="35"/>
      <c r="T57" s="38"/>
      <c r="U57" s="92"/>
      <c r="V57" s="38"/>
      <c r="W57" s="38"/>
      <c r="X57" s="38"/>
      <c r="Y57" s="35"/>
      <c r="Z57" s="35"/>
      <c r="AA57" s="35"/>
      <c r="AB57" s="35"/>
      <c r="AC57" s="35"/>
      <c r="AD57" s="35"/>
      <c r="AE57" s="46"/>
      <c r="AF57" s="40"/>
      <c r="AG57" s="40"/>
      <c r="AH57" s="40"/>
      <c r="AI57" s="41"/>
      <c r="AJ57" s="25">
        <f t="shared" si="3"/>
        <v>0</v>
      </c>
      <c r="AK57" s="42">
        <f t="shared" si="4"/>
        <v>0</v>
      </c>
      <c r="AL57" s="27">
        <f t="shared" si="5"/>
        <v>2</v>
      </c>
      <c r="AM57" s="28"/>
      <c r="AN57" s="28"/>
      <c r="AO57" s="28"/>
    </row>
    <row r="58">
      <c r="A58" s="37">
        <v>56.0</v>
      </c>
      <c r="B58" s="60" t="s">
        <v>266</v>
      </c>
      <c r="C58" s="90" t="s">
        <v>267</v>
      </c>
      <c r="D58" s="90" t="s">
        <v>268</v>
      </c>
      <c r="E58" s="91">
        <v>9.880990088E9</v>
      </c>
      <c r="F58" s="91" t="s">
        <v>269</v>
      </c>
      <c r="G58" s="91">
        <v>9.880990088E9</v>
      </c>
      <c r="H58" s="49"/>
      <c r="I58" s="49"/>
      <c r="J58" s="49"/>
      <c r="K58" s="49"/>
      <c r="L58" s="38">
        <v>5.0</v>
      </c>
      <c r="M58" s="49"/>
      <c r="N58" s="49"/>
      <c r="O58" s="32"/>
      <c r="P58" s="33"/>
      <c r="Q58" s="33"/>
      <c r="R58" s="35"/>
      <c r="S58" s="35"/>
      <c r="T58" s="38"/>
      <c r="U58" s="92"/>
      <c r="V58" s="38"/>
      <c r="W58" s="38"/>
      <c r="X58" s="38"/>
      <c r="Y58" s="35"/>
      <c r="Z58" s="35"/>
      <c r="AA58" s="35"/>
      <c r="AB58" s="35"/>
      <c r="AC58" s="35"/>
      <c r="AD58" s="35"/>
      <c r="AE58" s="46"/>
      <c r="AF58" s="40"/>
      <c r="AG58" s="40"/>
      <c r="AH58" s="40"/>
      <c r="AI58" s="41"/>
      <c r="AJ58" s="25">
        <f t="shared" si="3"/>
        <v>0</v>
      </c>
      <c r="AK58" s="42">
        <f t="shared" si="4"/>
        <v>0</v>
      </c>
      <c r="AL58" s="27">
        <f t="shared" si="5"/>
        <v>1</v>
      </c>
      <c r="AM58" s="28"/>
      <c r="AN58" s="28"/>
      <c r="AO58" s="28"/>
    </row>
    <row r="59">
      <c r="A59" s="37">
        <v>57.0</v>
      </c>
      <c r="B59" s="60" t="s">
        <v>270</v>
      </c>
      <c r="C59" s="90" t="s">
        <v>267</v>
      </c>
      <c r="D59" s="90" t="s">
        <v>271</v>
      </c>
      <c r="E59" s="91">
        <v>9.535980451E9</v>
      </c>
      <c r="F59" s="91" t="s">
        <v>272</v>
      </c>
      <c r="G59" s="91">
        <v>9.880990088E9</v>
      </c>
      <c r="H59" s="49"/>
      <c r="I59" s="49"/>
      <c r="J59" s="49"/>
      <c r="K59" s="49"/>
      <c r="L59" s="38">
        <v>5.0</v>
      </c>
      <c r="M59" s="49"/>
      <c r="N59" s="49"/>
      <c r="O59" s="32"/>
      <c r="P59" s="33"/>
      <c r="Q59" s="33"/>
      <c r="R59" s="35"/>
      <c r="S59" s="35"/>
      <c r="T59" s="38"/>
      <c r="U59" s="92"/>
      <c r="V59" s="38"/>
      <c r="W59" s="38"/>
      <c r="X59" s="38"/>
      <c r="Y59" s="35"/>
      <c r="Z59" s="35"/>
      <c r="AA59" s="35"/>
      <c r="AB59" s="35"/>
      <c r="AC59" s="35"/>
      <c r="AD59" s="35"/>
      <c r="AE59" s="46"/>
      <c r="AF59" s="40"/>
      <c r="AG59" s="40"/>
      <c r="AH59" s="40"/>
      <c r="AI59" s="41"/>
      <c r="AJ59" s="25">
        <f t="shared" si="3"/>
        <v>0</v>
      </c>
      <c r="AK59" s="42">
        <f t="shared" si="4"/>
        <v>0</v>
      </c>
      <c r="AL59" s="27">
        <f t="shared" si="5"/>
        <v>1</v>
      </c>
      <c r="AM59" s="28"/>
      <c r="AN59" s="28"/>
      <c r="AO59" s="28"/>
    </row>
    <row r="60">
      <c r="A60" s="37">
        <v>58.0</v>
      </c>
      <c r="B60" s="60" t="s">
        <v>273</v>
      </c>
      <c r="C60" s="90" t="s">
        <v>274</v>
      </c>
      <c r="D60" s="90" t="s">
        <v>275</v>
      </c>
      <c r="E60" s="91">
        <v>9.02045623E9</v>
      </c>
      <c r="F60" s="91" t="s">
        <v>276</v>
      </c>
      <c r="G60" s="91">
        <v>8.891484844E9</v>
      </c>
      <c r="H60" s="49"/>
      <c r="I60" s="49"/>
      <c r="J60" s="49"/>
      <c r="K60" s="49"/>
      <c r="L60" s="49"/>
      <c r="M60" s="38">
        <v>5.0</v>
      </c>
      <c r="N60" s="49"/>
      <c r="O60" s="32"/>
      <c r="P60" s="33"/>
      <c r="Q60" s="33"/>
      <c r="R60" s="35"/>
      <c r="S60" s="35"/>
      <c r="T60" s="38"/>
      <c r="U60" s="92"/>
      <c r="V60" s="38"/>
      <c r="W60" s="38"/>
      <c r="X60" s="38"/>
      <c r="Y60" s="35"/>
      <c r="Z60" s="35"/>
      <c r="AA60" s="35"/>
      <c r="AB60" s="35"/>
      <c r="AC60" s="35"/>
      <c r="AD60" s="35"/>
      <c r="AE60" s="46"/>
      <c r="AF60" s="40"/>
      <c r="AG60" s="40"/>
      <c r="AH60" s="40"/>
      <c r="AI60" s="41"/>
      <c r="AJ60" s="25">
        <f t="shared" si="3"/>
        <v>0</v>
      </c>
      <c r="AK60" s="42">
        <f t="shared" si="4"/>
        <v>0</v>
      </c>
      <c r="AL60" s="27">
        <f t="shared" si="5"/>
        <v>1</v>
      </c>
      <c r="AM60" s="28"/>
      <c r="AN60" s="28"/>
      <c r="AO60" s="28"/>
    </row>
    <row r="61">
      <c r="A61" s="37">
        <v>59.0</v>
      </c>
      <c r="B61" s="60" t="s">
        <v>277</v>
      </c>
      <c r="C61" s="90" t="s">
        <v>278</v>
      </c>
      <c r="D61" s="90" t="s">
        <v>279</v>
      </c>
      <c r="E61" s="91">
        <v>9.900695899E9</v>
      </c>
      <c r="F61" s="91" t="s">
        <v>280</v>
      </c>
      <c r="G61" s="91">
        <v>9.900695899E9</v>
      </c>
      <c r="H61" s="49"/>
      <c r="I61" s="49"/>
      <c r="J61" s="49"/>
      <c r="K61" s="49"/>
      <c r="L61" s="49"/>
      <c r="M61" s="38">
        <v>5.0</v>
      </c>
      <c r="N61" s="49"/>
      <c r="O61" s="32"/>
      <c r="P61" s="33"/>
      <c r="Q61" s="33"/>
      <c r="R61" s="35"/>
      <c r="S61" s="35"/>
      <c r="T61" s="38"/>
      <c r="U61" s="92"/>
      <c r="V61" s="38"/>
      <c r="W61" s="38"/>
      <c r="X61" s="38"/>
      <c r="Y61" s="35"/>
      <c r="Z61" s="35"/>
      <c r="AA61" s="35"/>
      <c r="AB61" s="35"/>
      <c r="AC61" s="35"/>
      <c r="AD61" s="35"/>
      <c r="AE61" s="46"/>
      <c r="AF61" s="40"/>
      <c r="AG61" s="40"/>
      <c r="AH61" s="40"/>
      <c r="AI61" s="41"/>
      <c r="AJ61" s="25">
        <f t="shared" si="3"/>
        <v>0</v>
      </c>
      <c r="AK61" s="42">
        <f t="shared" si="4"/>
        <v>0</v>
      </c>
      <c r="AL61" s="27">
        <f t="shared" si="5"/>
        <v>1</v>
      </c>
      <c r="AM61" s="28"/>
      <c r="AN61" s="28"/>
      <c r="AO61" s="28"/>
    </row>
    <row r="62">
      <c r="A62" s="37">
        <v>60.0</v>
      </c>
      <c r="B62" s="60" t="s">
        <v>281</v>
      </c>
      <c r="C62" s="90" t="s">
        <v>282</v>
      </c>
      <c r="D62" s="90" t="s">
        <v>283</v>
      </c>
      <c r="E62" s="91">
        <v>9.980775453E9</v>
      </c>
      <c r="F62" s="91" t="s">
        <v>284</v>
      </c>
      <c r="G62" s="91">
        <v>9.590923167E9</v>
      </c>
      <c r="H62" s="49"/>
      <c r="I62" s="49"/>
      <c r="J62" s="49"/>
      <c r="K62" s="49"/>
      <c r="L62" s="49"/>
      <c r="M62" s="38">
        <v>5.0</v>
      </c>
      <c r="N62" s="49"/>
      <c r="O62" s="32"/>
      <c r="P62" s="33"/>
      <c r="Q62" s="33"/>
      <c r="R62" s="35"/>
      <c r="S62" s="35"/>
      <c r="T62" s="38"/>
      <c r="U62" s="92">
        <v>5.0</v>
      </c>
      <c r="V62" s="38"/>
      <c r="W62" s="38"/>
      <c r="X62" s="38"/>
      <c r="Y62" s="35"/>
      <c r="Z62" s="35"/>
      <c r="AA62" s="35"/>
      <c r="AB62" s="35"/>
      <c r="AC62" s="35"/>
      <c r="AD62" s="35"/>
      <c r="AE62" s="46"/>
      <c r="AF62" s="40"/>
      <c r="AG62" s="40"/>
      <c r="AH62" s="40"/>
      <c r="AI62" s="41"/>
      <c r="AJ62" s="25">
        <f t="shared" si="3"/>
        <v>5</v>
      </c>
      <c r="AK62" s="42">
        <f t="shared" si="4"/>
        <v>7.142857143</v>
      </c>
      <c r="AL62" s="27">
        <f t="shared" si="5"/>
        <v>2</v>
      </c>
      <c r="AM62" s="28"/>
      <c r="AN62" s="28"/>
      <c r="AO62" s="28"/>
    </row>
    <row r="63">
      <c r="A63" s="37">
        <v>61.0</v>
      </c>
      <c r="B63" s="60" t="s">
        <v>285</v>
      </c>
      <c r="C63" s="90" t="s">
        <v>286</v>
      </c>
      <c r="D63" s="90" t="s">
        <v>287</v>
      </c>
      <c r="E63" s="91">
        <v>9.980436789E9</v>
      </c>
      <c r="F63" s="91" t="s">
        <v>288</v>
      </c>
      <c r="G63" s="91">
        <v>9.686033117E9</v>
      </c>
      <c r="H63" s="49"/>
      <c r="I63" s="49"/>
      <c r="J63" s="49"/>
      <c r="K63" s="49"/>
      <c r="L63" s="49"/>
      <c r="M63" s="38">
        <v>5.0</v>
      </c>
      <c r="N63" s="49"/>
      <c r="O63" s="32"/>
      <c r="P63" s="38">
        <v>5.0</v>
      </c>
      <c r="Q63" s="33"/>
      <c r="R63" s="35"/>
      <c r="S63" s="35"/>
      <c r="T63" s="38"/>
      <c r="U63" s="92"/>
      <c r="V63" s="38"/>
      <c r="W63" s="38"/>
      <c r="X63" s="38"/>
      <c r="Y63" s="35"/>
      <c r="Z63" s="35"/>
      <c r="AA63" s="35"/>
      <c r="AB63" s="35"/>
      <c r="AC63" s="35"/>
      <c r="AD63" s="35"/>
      <c r="AE63" s="46"/>
      <c r="AF63" s="40"/>
      <c r="AG63" s="40"/>
      <c r="AH63" s="40"/>
      <c r="AI63" s="41"/>
      <c r="AJ63" s="25">
        <f t="shared" si="3"/>
        <v>0</v>
      </c>
      <c r="AK63" s="42">
        <f t="shared" si="4"/>
        <v>0</v>
      </c>
      <c r="AL63" s="27">
        <f t="shared" si="5"/>
        <v>2</v>
      </c>
      <c r="AM63" s="28"/>
      <c r="AN63" s="28"/>
      <c r="AO63" s="28"/>
    </row>
    <row r="64">
      <c r="A64" s="73">
        <v>62.0</v>
      </c>
      <c r="B64" s="74" t="s">
        <v>289</v>
      </c>
      <c r="C64" s="90" t="s">
        <v>290</v>
      </c>
      <c r="D64" s="90" t="s">
        <v>291</v>
      </c>
      <c r="E64" s="91">
        <v>9.986798162E9</v>
      </c>
      <c r="F64" s="91" t="s">
        <v>292</v>
      </c>
      <c r="G64" s="91">
        <v>8.095986359E9</v>
      </c>
      <c r="H64" s="49"/>
      <c r="I64" s="49"/>
      <c r="J64" s="49"/>
      <c r="K64" s="49"/>
      <c r="L64" s="49"/>
      <c r="M64" s="38">
        <v>5.0</v>
      </c>
      <c r="N64" s="49"/>
      <c r="O64" s="37">
        <v>5.0</v>
      </c>
      <c r="P64" s="38">
        <v>5.0</v>
      </c>
      <c r="Q64" s="38">
        <v>5.0</v>
      </c>
      <c r="R64" s="35"/>
      <c r="S64" s="35">
        <v>5.0</v>
      </c>
      <c r="T64" s="38">
        <v>5.0</v>
      </c>
      <c r="U64" s="92">
        <v>5.0</v>
      </c>
      <c r="V64" s="38">
        <v>5.0</v>
      </c>
      <c r="W64" s="38"/>
      <c r="X64" s="38">
        <v>5.0</v>
      </c>
      <c r="Y64" s="35">
        <v>5.0</v>
      </c>
      <c r="Z64" s="35">
        <v>5.0</v>
      </c>
      <c r="AA64" s="35">
        <v>5.0</v>
      </c>
      <c r="AB64" s="56"/>
      <c r="AC64" s="56"/>
      <c r="AD64" s="56"/>
      <c r="AE64" s="64"/>
      <c r="AF64" s="40">
        <v>5.0</v>
      </c>
      <c r="AG64" s="40">
        <v>5.0</v>
      </c>
      <c r="AH64" s="40"/>
      <c r="AI64" s="41"/>
      <c r="AJ64" s="25">
        <f t="shared" si="3"/>
        <v>40</v>
      </c>
      <c r="AK64" s="42">
        <f t="shared" si="4"/>
        <v>57.14285714</v>
      </c>
      <c r="AL64" s="27">
        <f t="shared" si="5"/>
        <v>12</v>
      </c>
      <c r="AM64" s="28"/>
      <c r="AN64" s="28"/>
      <c r="AO64" s="28"/>
    </row>
    <row r="65">
      <c r="A65" s="37">
        <v>63.0</v>
      </c>
      <c r="B65" s="60" t="s">
        <v>293</v>
      </c>
      <c r="C65" s="90" t="s">
        <v>41</v>
      </c>
      <c r="D65" s="90" t="s">
        <v>294</v>
      </c>
      <c r="E65" s="91">
        <v>9.880141543E9</v>
      </c>
      <c r="F65" s="91" t="s">
        <v>295</v>
      </c>
      <c r="G65" s="91">
        <v>8.088612661E9</v>
      </c>
      <c r="H65" s="49"/>
      <c r="I65" s="49"/>
      <c r="J65" s="49"/>
      <c r="K65" s="49"/>
      <c r="L65" s="49"/>
      <c r="M65" s="38">
        <v>5.0</v>
      </c>
      <c r="N65" s="49"/>
      <c r="O65" s="32"/>
      <c r="P65" s="33"/>
      <c r="Q65" s="33"/>
      <c r="R65" s="35"/>
      <c r="S65" s="35"/>
      <c r="T65" s="38"/>
      <c r="U65" s="92"/>
      <c r="V65" s="38"/>
      <c r="W65" s="38"/>
      <c r="X65" s="38"/>
      <c r="Y65" s="35"/>
      <c r="Z65" s="35"/>
      <c r="AA65" s="35"/>
      <c r="AB65" s="37"/>
      <c r="AC65" s="37"/>
      <c r="AD65" s="37"/>
      <c r="AE65" s="39">
        <v>5.0</v>
      </c>
      <c r="AF65" s="40"/>
      <c r="AG65" s="40"/>
      <c r="AH65" s="40"/>
      <c r="AI65" s="41"/>
      <c r="AJ65" s="25">
        <f t="shared" si="3"/>
        <v>5</v>
      </c>
      <c r="AK65" s="42">
        <f t="shared" si="4"/>
        <v>7.142857143</v>
      </c>
      <c r="AL65" s="27">
        <f t="shared" si="5"/>
        <v>2</v>
      </c>
      <c r="AM65" s="28"/>
      <c r="AN65" s="28"/>
      <c r="AO65" s="28"/>
    </row>
    <row r="66">
      <c r="A66" s="37">
        <v>64.0</v>
      </c>
      <c r="B66" s="60" t="s">
        <v>296</v>
      </c>
      <c r="C66" s="90" t="s">
        <v>297</v>
      </c>
      <c r="D66" s="90" t="s">
        <v>298</v>
      </c>
      <c r="E66" s="91">
        <v>9.8864542E9</v>
      </c>
      <c r="F66" s="91" t="s">
        <v>299</v>
      </c>
      <c r="G66" s="91">
        <v>9.886000889E9</v>
      </c>
      <c r="H66" s="49"/>
      <c r="I66" s="49"/>
      <c r="J66" s="49"/>
      <c r="K66" s="49"/>
      <c r="L66" s="49"/>
      <c r="M66" s="49"/>
      <c r="N66" s="38">
        <v>5.0</v>
      </c>
      <c r="O66" s="32"/>
      <c r="P66" s="33"/>
      <c r="Q66" s="33"/>
      <c r="R66" s="35"/>
      <c r="S66" s="35"/>
      <c r="T66" s="38"/>
      <c r="U66" s="92"/>
      <c r="V66" s="38"/>
      <c r="W66" s="38"/>
      <c r="X66" s="38"/>
      <c r="Y66" s="35"/>
      <c r="Z66" s="35">
        <v>5.0</v>
      </c>
      <c r="AA66" s="35"/>
      <c r="AB66" s="35"/>
      <c r="AC66" s="35"/>
      <c r="AD66" s="35"/>
      <c r="AE66" s="46"/>
      <c r="AF66" s="40"/>
      <c r="AG66" s="40"/>
      <c r="AH66" s="40"/>
      <c r="AI66" s="41"/>
      <c r="AJ66" s="25">
        <f t="shared" si="3"/>
        <v>5</v>
      </c>
      <c r="AK66" s="42">
        <f t="shared" si="4"/>
        <v>7.142857143</v>
      </c>
      <c r="AL66" s="27">
        <f t="shared" si="5"/>
        <v>2</v>
      </c>
      <c r="AM66" s="28"/>
      <c r="AN66" s="28"/>
      <c r="AO66" s="28"/>
    </row>
    <row r="67">
      <c r="A67" s="37">
        <v>65.0</v>
      </c>
      <c r="B67" s="93" t="s">
        <v>300</v>
      </c>
      <c r="C67" s="90" t="s">
        <v>301</v>
      </c>
      <c r="D67" s="90" t="s">
        <v>302</v>
      </c>
      <c r="E67" s="91">
        <v>9.972554449E9</v>
      </c>
      <c r="F67" s="91" t="s">
        <v>303</v>
      </c>
      <c r="G67" s="91">
        <v>9.880595695E9</v>
      </c>
      <c r="H67" s="94"/>
      <c r="I67" s="94"/>
      <c r="J67" s="94"/>
      <c r="K67" s="94"/>
      <c r="L67" s="94"/>
      <c r="M67" s="94"/>
      <c r="N67" s="94"/>
      <c r="O67" s="95">
        <v>5.0</v>
      </c>
      <c r="P67" s="94"/>
      <c r="Q67" s="94"/>
      <c r="R67" s="35"/>
      <c r="S67" s="35"/>
      <c r="T67" s="38"/>
      <c r="U67" s="92"/>
      <c r="V67" s="38"/>
      <c r="W67" s="38"/>
      <c r="X67" s="38"/>
      <c r="Y67" s="35"/>
      <c r="Z67" s="35"/>
      <c r="AA67" s="35"/>
      <c r="AB67" s="35"/>
      <c r="AC67" s="35"/>
      <c r="AD67" s="35"/>
      <c r="AE67" s="46"/>
      <c r="AF67" s="40"/>
      <c r="AG67" s="40"/>
      <c r="AH67" s="40"/>
      <c r="AI67" s="41"/>
      <c r="AJ67" s="25">
        <f t="shared" si="3"/>
        <v>0</v>
      </c>
      <c r="AK67" s="42">
        <f t="shared" si="4"/>
        <v>0</v>
      </c>
      <c r="AL67" s="27">
        <f t="shared" si="5"/>
        <v>1</v>
      </c>
      <c r="AM67" s="28"/>
      <c r="AN67" s="28"/>
      <c r="AO67" s="28"/>
    </row>
    <row r="68">
      <c r="A68" s="35">
        <v>66.0</v>
      </c>
      <c r="B68" s="60" t="s">
        <v>304</v>
      </c>
      <c r="C68" s="90" t="s">
        <v>305</v>
      </c>
      <c r="D68" s="90" t="s">
        <v>306</v>
      </c>
      <c r="E68" s="91">
        <v>9.945514969E9</v>
      </c>
      <c r="F68" s="91" t="s">
        <v>307</v>
      </c>
      <c r="G68" s="91">
        <v>9.972600477E9</v>
      </c>
      <c r="H68" s="49"/>
      <c r="I68" s="49"/>
      <c r="J68" s="49"/>
      <c r="K68" s="49"/>
      <c r="L68" s="49"/>
      <c r="M68" s="49"/>
      <c r="N68" s="49"/>
      <c r="O68" s="38">
        <v>5.0</v>
      </c>
      <c r="P68" s="49"/>
      <c r="Q68" s="49"/>
      <c r="R68" s="35"/>
      <c r="S68" s="35"/>
      <c r="T68" s="38"/>
      <c r="U68" s="92"/>
      <c r="V68" s="38"/>
      <c r="W68" s="38"/>
      <c r="X68" s="38"/>
      <c r="Y68" s="35"/>
      <c r="Z68" s="35"/>
      <c r="AA68" s="35"/>
      <c r="AB68" s="35"/>
      <c r="AC68" s="35"/>
      <c r="AD68" s="35"/>
      <c r="AE68" s="46"/>
      <c r="AF68" s="40"/>
      <c r="AG68" s="40"/>
      <c r="AH68" s="40"/>
      <c r="AI68" s="41"/>
      <c r="AJ68" s="25">
        <f t="shared" si="3"/>
        <v>0</v>
      </c>
      <c r="AK68" s="42">
        <f t="shared" si="4"/>
        <v>0</v>
      </c>
      <c r="AL68" s="27">
        <f t="shared" si="5"/>
        <v>1</v>
      </c>
      <c r="AM68" s="28"/>
      <c r="AN68" s="28"/>
      <c r="AO68" s="28"/>
    </row>
    <row r="69">
      <c r="A69" s="37">
        <v>67.0</v>
      </c>
      <c r="B69" s="60" t="s">
        <v>308</v>
      </c>
      <c r="C69" s="90" t="s">
        <v>309</v>
      </c>
      <c r="D69" s="90" t="s">
        <v>310</v>
      </c>
      <c r="E69" s="91">
        <v>9.86041664E8</v>
      </c>
      <c r="F69" s="91">
        <v>9.449634375E9</v>
      </c>
      <c r="G69" s="91">
        <v>9.449634375E9</v>
      </c>
      <c r="H69" s="49"/>
      <c r="I69" s="49"/>
      <c r="J69" s="49"/>
      <c r="K69" s="49"/>
      <c r="L69" s="49"/>
      <c r="M69" s="49"/>
      <c r="N69" s="49"/>
      <c r="O69" s="38">
        <v>5.0</v>
      </c>
      <c r="P69" s="49"/>
      <c r="Q69" s="49"/>
      <c r="R69" s="35"/>
      <c r="S69" s="35"/>
      <c r="T69" s="38"/>
      <c r="U69" s="92">
        <v>5.0</v>
      </c>
      <c r="V69" s="38"/>
      <c r="W69" s="38"/>
      <c r="X69" s="38"/>
      <c r="Y69" s="35"/>
      <c r="Z69" s="35"/>
      <c r="AA69" s="35"/>
      <c r="AB69" s="35"/>
      <c r="AC69" s="35"/>
      <c r="AD69" s="35"/>
      <c r="AE69" s="46"/>
      <c r="AF69" s="40"/>
      <c r="AG69" s="40"/>
      <c r="AH69" s="40"/>
      <c r="AI69" s="41"/>
      <c r="AJ69" s="25">
        <f t="shared" si="3"/>
        <v>5</v>
      </c>
      <c r="AK69" s="42">
        <f t="shared" si="4"/>
        <v>7.142857143</v>
      </c>
      <c r="AL69" s="27">
        <f t="shared" si="5"/>
        <v>2</v>
      </c>
      <c r="AM69" s="28"/>
      <c r="AN69" s="28"/>
      <c r="AO69" s="28"/>
    </row>
    <row r="70">
      <c r="A70" s="37">
        <v>68.0</v>
      </c>
      <c r="B70" s="60" t="s">
        <v>311</v>
      </c>
      <c r="C70" s="90" t="s">
        <v>312</v>
      </c>
      <c r="D70" s="90" t="s">
        <v>313</v>
      </c>
      <c r="E70" s="91">
        <v>9.84517675E9</v>
      </c>
      <c r="F70" s="91" t="s">
        <v>314</v>
      </c>
      <c r="G70" s="91">
        <v>9.740711999E9</v>
      </c>
      <c r="H70" s="49"/>
      <c r="I70" s="49"/>
      <c r="J70" s="49"/>
      <c r="K70" s="49"/>
      <c r="L70" s="49"/>
      <c r="M70" s="49"/>
      <c r="N70" s="49"/>
      <c r="O70" s="38">
        <v>5.0</v>
      </c>
      <c r="P70" s="49"/>
      <c r="Q70" s="49"/>
      <c r="R70" s="35"/>
      <c r="S70" s="35"/>
      <c r="T70" s="38"/>
      <c r="U70" s="92"/>
      <c r="V70" s="38"/>
      <c r="W70" s="38"/>
      <c r="X70" s="38"/>
      <c r="Y70" s="35"/>
      <c r="Z70" s="35"/>
      <c r="AA70" s="35"/>
      <c r="AB70" s="35"/>
      <c r="AC70" s="35"/>
      <c r="AD70" s="35"/>
      <c r="AE70" s="46"/>
      <c r="AF70" s="40"/>
      <c r="AG70" s="40"/>
      <c r="AH70" s="40"/>
      <c r="AI70" s="41"/>
      <c r="AJ70" s="25">
        <f t="shared" si="3"/>
        <v>0</v>
      </c>
      <c r="AK70" s="42">
        <f t="shared" si="4"/>
        <v>0</v>
      </c>
      <c r="AL70" s="27">
        <f t="shared" si="5"/>
        <v>1</v>
      </c>
      <c r="AM70" s="28"/>
      <c r="AN70" s="28"/>
      <c r="AO70" s="28"/>
    </row>
    <row r="71">
      <c r="A71" s="37">
        <v>69.0</v>
      </c>
      <c r="B71" s="60" t="s">
        <v>315</v>
      </c>
      <c r="C71" s="96" t="s">
        <v>316</v>
      </c>
      <c r="D71" s="96" t="s">
        <v>317</v>
      </c>
      <c r="E71" s="97">
        <v>9.962512417E9</v>
      </c>
      <c r="F71" s="97" t="s">
        <v>318</v>
      </c>
      <c r="G71" s="97">
        <v>9.962512416E9</v>
      </c>
      <c r="H71" s="49"/>
      <c r="I71" s="49"/>
      <c r="J71" s="49"/>
      <c r="K71" s="49"/>
      <c r="L71" s="49"/>
      <c r="M71" s="49"/>
      <c r="N71" s="49"/>
      <c r="O71" s="49"/>
      <c r="P71" s="38">
        <v>5.0</v>
      </c>
      <c r="Q71" s="49"/>
      <c r="R71" s="35"/>
      <c r="S71" s="35"/>
      <c r="T71" s="38"/>
      <c r="U71" s="92"/>
      <c r="V71" s="38"/>
      <c r="W71" s="38"/>
      <c r="X71" s="38"/>
      <c r="Y71" s="35"/>
      <c r="Z71" s="35"/>
      <c r="AA71" s="35"/>
      <c r="AB71" s="35"/>
      <c r="AC71" s="35"/>
      <c r="AD71" s="35"/>
      <c r="AE71" s="46"/>
      <c r="AF71" s="40"/>
      <c r="AG71" s="40"/>
      <c r="AH71" s="40"/>
      <c r="AI71" s="41"/>
      <c r="AJ71" s="25">
        <f t="shared" si="3"/>
        <v>0</v>
      </c>
      <c r="AK71" s="42">
        <f t="shared" si="4"/>
        <v>0</v>
      </c>
      <c r="AL71" s="27">
        <f t="shared" si="5"/>
        <v>1</v>
      </c>
      <c r="AM71" s="28"/>
      <c r="AN71" s="28"/>
      <c r="AO71" s="28"/>
    </row>
    <row r="72">
      <c r="A72" s="37">
        <v>70.0</v>
      </c>
      <c r="B72" s="60" t="s">
        <v>319</v>
      </c>
      <c r="C72" s="98" t="s">
        <v>320</v>
      </c>
      <c r="D72" s="98" t="s">
        <v>321</v>
      </c>
      <c r="E72" s="99">
        <v>9.900507414E9</v>
      </c>
      <c r="F72" s="99" t="s">
        <v>322</v>
      </c>
      <c r="G72" s="99">
        <v>9.7319039E9</v>
      </c>
      <c r="H72" s="49"/>
      <c r="I72" s="49"/>
      <c r="J72" s="49"/>
      <c r="K72" s="49"/>
      <c r="L72" s="49"/>
      <c r="M72" s="49"/>
      <c r="N72" s="49"/>
      <c r="O72" s="49"/>
      <c r="P72" s="38">
        <v>5.0</v>
      </c>
      <c r="Q72" s="49"/>
      <c r="R72" s="35">
        <v>5.0</v>
      </c>
      <c r="S72" s="35">
        <v>5.0</v>
      </c>
      <c r="T72" s="38"/>
      <c r="U72" s="92">
        <v>5.0</v>
      </c>
      <c r="V72" s="38">
        <v>5.0</v>
      </c>
      <c r="W72" s="38"/>
      <c r="X72" s="38">
        <v>5.0</v>
      </c>
      <c r="Y72" s="35">
        <v>5.0</v>
      </c>
      <c r="Z72" s="35"/>
      <c r="AA72" s="35">
        <v>5.0</v>
      </c>
      <c r="AB72" s="35">
        <v>5.0</v>
      </c>
      <c r="AC72" s="35"/>
      <c r="AD72" s="35"/>
      <c r="AE72" s="46"/>
      <c r="AF72" s="40">
        <v>5.0</v>
      </c>
      <c r="AG72" s="40"/>
      <c r="AH72" s="40">
        <v>5.0</v>
      </c>
      <c r="AI72" s="41"/>
      <c r="AJ72" s="25">
        <f t="shared" si="3"/>
        <v>40</v>
      </c>
      <c r="AK72" s="42">
        <f t="shared" si="4"/>
        <v>57.14285714</v>
      </c>
      <c r="AL72" s="27">
        <f t="shared" si="5"/>
        <v>9</v>
      </c>
      <c r="AM72" s="28"/>
      <c r="AN72" s="28"/>
      <c r="AO72" s="28"/>
    </row>
    <row r="73">
      <c r="A73" s="37">
        <v>71.0</v>
      </c>
      <c r="B73" s="60" t="s">
        <v>323</v>
      </c>
      <c r="C73" s="100" t="s">
        <v>324</v>
      </c>
      <c r="D73" s="100" t="s">
        <v>325</v>
      </c>
      <c r="E73" s="101">
        <v>8.130395876E9</v>
      </c>
      <c r="F73" s="101" t="s">
        <v>326</v>
      </c>
      <c r="G73" s="101">
        <v>9.845545984E9</v>
      </c>
      <c r="H73" s="49"/>
      <c r="I73" s="49"/>
      <c r="J73" s="49"/>
      <c r="K73" s="49"/>
      <c r="L73" s="49"/>
      <c r="M73" s="49"/>
      <c r="N73" s="49"/>
      <c r="O73" s="49"/>
      <c r="P73" s="38">
        <v>5.0</v>
      </c>
      <c r="Q73" s="49"/>
      <c r="R73" s="35"/>
      <c r="S73" s="35"/>
      <c r="T73" s="38"/>
      <c r="U73" s="92"/>
      <c r="V73" s="38"/>
      <c r="W73" s="38"/>
      <c r="X73" s="38"/>
      <c r="Y73" s="35"/>
      <c r="Z73" s="35"/>
      <c r="AA73" s="35"/>
      <c r="AB73" s="35"/>
      <c r="AC73" s="35"/>
      <c r="AD73" s="35"/>
      <c r="AE73" s="46"/>
      <c r="AF73" s="40"/>
      <c r="AG73" s="40"/>
      <c r="AH73" s="40"/>
      <c r="AI73" s="41"/>
      <c r="AJ73" s="25">
        <f t="shared" si="3"/>
        <v>0</v>
      </c>
      <c r="AK73" s="42">
        <f t="shared" si="4"/>
        <v>0</v>
      </c>
      <c r="AL73" s="27">
        <f t="shared" si="5"/>
        <v>1</v>
      </c>
      <c r="AM73" s="28"/>
      <c r="AN73" s="28"/>
      <c r="AO73" s="28"/>
    </row>
    <row r="74">
      <c r="A74" s="37">
        <v>72.0</v>
      </c>
      <c r="B74" s="60" t="s">
        <v>327</v>
      </c>
      <c r="C74" s="98" t="s">
        <v>328</v>
      </c>
      <c r="D74" s="98" t="s">
        <v>329</v>
      </c>
      <c r="E74" s="99">
        <v>9.916677653E9</v>
      </c>
      <c r="F74" s="99" t="s">
        <v>330</v>
      </c>
      <c r="G74" s="99">
        <v>9.916355225E9</v>
      </c>
      <c r="H74" s="49"/>
      <c r="I74" s="49"/>
      <c r="J74" s="49"/>
      <c r="K74" s="49"/>
      <c r="L74" s="49"/>
      <c r="M74" s="49"/>
      <c r="N74" s="49"/>
      <c r="O74" s="49"/>
      <c r="P74" s="38">
        <v>5.0</v>
      </c>
      <c r="Q74" s="49"/>
      <c r="R74" s="35"/>
      <c r="S74" s="35"/>
      <c r="T74" s="38"/>
      <c r="U74" s="92"/>
      <c r="V74" s="38"/>
      <c r="W74" s="38"/>
      <c r="X74" s="38"/>
      <c r="Y74" s="35"/>
      <c r="Z74" s="35"/>
      <c r="AA74" s="35"/>
      <c r="AB74" s="35"/>
      <c r="AC74" s="35"/>
      <c r="AD74" s="35"/>
      <c r="AE74" s="46"/>
      <c r="AF74" s="40"/>
      <c r="AG74" s="40"/>
      <c r="AH74" s="40"/>
      <c r="AI74" s="41"/>
      <c r="AJ74" s="25">
        <f t="shared" si="3"/>
        <v>0</v>
      </c>
      <c r="AK74" s="42">
        <f t="shared" si="4"/>
        <v>0</v>
      </c>
      <c r="AL74" s="27">
        <f t="shared" si="5"/>
        <v>1</v>
      </c>
      <c r="AM74" s="28"/>
      <c r="AN74" s="28"/>
      <c r="AO74" s="28"/>
    </row>
    <row r="75">
      <c r="A75" s="37">
        <v>73.0</v>
      </c>
      <c r="B75" s="60" t="s">
        <v>331</v>
      </c>
      <c r="C75" s="100" t="s">
        <v>332</v>
      </c>
      <c r="D75" s="100" t="s">
        <v>333</v>
      </c>
      <c r="E75" s="101">
        <v>9.739057288E9</v>
      </c>
      <c r="F75" s="101" t="s">
        <v>334</v>
      </c>
      <c r="G75" s="101">
        <v>8.095416659E9</v>
      </c>
      <c r="H75" s="49"/>
      <c r="I75" s="49"/>
      <c r="J75" s="49"/>
      <c r="K75" s="49"/>
      <c r="L75" s="49"/>
      <c r="M75" s="49"/>
      <c r="N75" s="49"/>
      <c r="O75" s="49"/>
      <c r="P75" s="38">
        <v>5.0</v>
      </c>
      <c r="Q75" s="49"/>
      <c r="R75" s="35"/>
      <c r="S75" s="35"/>
      <c r="T75" s="38"/>
      <c r="U75" s="92"/>
      <c r="V75" s="38"/>
      <c r="W75" s="38"/>
      <c r="X75" s="38"/>
      <c r="Y75" s="35"/>
      <c r="Z75" s="35"/>
      <c r="AA75" s="35"/>
      <c r="AB75" s="35"/>
      <c r="AC75" s="35"/>
      <c r="AD75" s="35"/>
      <c r="AE75" s="46"/>
      <c r="AF75" s="40"/>
      <c r="AG75" s="40"/>
      <c r="AH75" s="40"/>
      <c r="AI75" s="41"/>
      <c r="AJ75" s="25">
        <f t="shared" si="3"/>
        <v>0</v>
      </c>
      <c r="AK75" s="42">
        <f t="shared" si="4"/>
        <v>0</v>
      </c>
      <c r="AL75" s="27">
        <f t="shared" si="5"/>
        <v>1</v>
      </c>
      <c r="AM75" s="28"/>
      <c r="AN75" s="28"/>
      <c r="AO75" s="28"/>
    </row>
    <row r="76">
      <c r="A76" s="37">
        <v>74.0</v>
      </c>
      <c r="B76" s="60" t="s">
        <v>335</v>
      </c>
      <c r="C76" s="98" t="s">
        <v>336</v>
      </c>
      <c r="D76" s="98" t="s">
        <v>337</v>
      </c>
      <c r="E76" s="99">
        <v>9.900114243E9</v>
      </c>
      <c r="F76" s="99" t="s">
        <v>338</v>
      </c>
      <c r="G76" s="99">
        <v>9.611104243E9</v>
      </c>
      <c r="H76" s="49"/>
      <c r="I76" s="49"/>
      <c r="J76" s="49"/>
      <c r="K76" s="49"/>
      <c r="L76" s="49"/>
      <c r="M76" s="49"/>
      <c r="N76" s="49"/>
      <c r="O76" s="49"/>
      <c r="P76" s="38">
        <v>5.0</v>
      </c>
      <c r="Q76" s="49"/>
      <c r="R76" s="35"/>
      <c r="S76" s="35"/>
      <c r="T76" s="38"/>
      <c r="U76" s="92"/>
      <c r="V76" s="38"/>
      <c r="W76" s="38"/>
      <c r="X76" s="38"/>
      <c r="Y76" s="35"/>
      <c r="Z76" s="35"/>
      <c r="AA76" s="35"/>
      <c r="AB76" s="35"/>
      <c r="AC76" s="35"/>
      <c r="AD76" s="35"/>
      <c r="AE76" s="46"/>
      <c r="AF76" s="40"/>
      <c r="AG76" s="40"/>
      <c r="AH76" s="40"/>
      <c r="AI76" s="41"/>
      <c r="AJ76" s="25">
        <f t="shared" si="3"/>
        <v>0</v>
      </c>
      <c r="AK76" s="42">
        <f t="shared" si="4"/>
        <v>0</v>
      </c>
      <c r="AL76" s="27">
        <f t="shared" si="5"/>
        <v>1</v>
      </c>
      <c r="AM76" s="28"/>
      <c r="AN76" s="28"/>
      <c r="AO76" s="28"/>
    </row>
    <row r="77">
      <c r="A77" s="37">
        <v>75.0</v>
      </c>
      <c r="B77" s="60" t="s">
        <v>339</v>
      </c>
      <c r="C77" s="100" t="s">
        <v>340</v>
      </c>
      <c r="D77" s="100" t="s">
        <v>341</v>
      </c>
      <c r="E77" s="101">
        <v>9.886015679E9</v>
      </c>
      <c r="F77" s="101" t="s">
        <v>342</v>
      </c>
      <c r="G77" s="101">
        <v>8.904824811E9</v>
      </c>
      <c r="H77" s="49"/>
      <c r="I77" s="49"/>
      <c r="J77" s="49"/>
      <c r="K77" s="49"/>
      <c r="L77" s="49"/>
      <c r="M77" s="49"/>
      <c r="N77" s="49"/>
      <c r="O77" s="49"/>
      <c r="P77" s="38">
        <v>5.0</v>
      </c>
      <c r="Q77" s="49"/>
      <c r="R77" s="35"/>
      <c r="S77" s="35"/>
      <c r="T77" s="38"/>
      <c r="U77" s="92"/>
      <c r="V77" s="38"/>
      <c r="W77" s="38"/>
      <c r="X77" s="38"/>
      <c r="Y77" s="35"/>
      <c r="Z77" s="35"/>
      <c r="AA77" s="35"/>
      <c r="AB77" s="35"/>
      <c r="AC77" s="35"/>
      <c r="AD77" s="35"/>
      <c r="AE77" s="46"/>
      <c r="AF77" s="40"/>
      <c r="AG77" s="40"/>
      <c r="AH77" s="40"/>
      <c r="AI77" s="41"/>
      <c r="AJ77" s="25">
        <f t="shared" si="3"/>
        <v>0</v>
      </c>
      <c r="AK77" s="42">
        <f t="shared" si="4"/>
        <v>0</v>
      </c>
      <c r="AL77" s="27">
        <f t="shared" si="5"/>
        <v>1</v>
      </c>
      <c r="AM77" s="28"/>
      <c r="AN77" s="28"/>
      <c r="AO77" s="28"/>
    </row>
    <row r="78">
      <c r="A78" s="37">
        <v>76.0</v>
      </c>
      <c r="B78" s="60" t="s">
        <v>343</v>
      </c>
      <c r="C78" s="98" t="s">
        <v>344</v>
      </c>
      <c r="D78" s="98" t="s">
        <v>345</v>
      </c>
      <c r="E78" s="99">
        <v>9.901766105E9</v>
      </c>
      <c r="F78" s="99" t="s">
        <v>346</v>
      </c>
      <c r="G78" s="99">
        <v>9.945358106E9</v>
      </c>
      <c r="H78" s="49"/>
      <c r="I78" s="49"/>
      <c r="J78" s="49"/>
      <c r="K78" s="49"/>
      <c r="L78" s="49"/>
      <c r="M78" s="49"/>
      <c r="N78" s="49"/>
      <c r="O78" s="49"/>
      <c r="P78" s="38">
        <v>5.0</v>
      </c>
      <c r="Q78" s="49"/>
      <c r="R78" s="35"/>
      <c r="S78" s="35"/>
      <c r="T78" s="38"/>
      <c r="U78" s="92"/>
      <c r="V78" s="38"/>
      <c r="W78" s="38"/>
      <c r="X78" s="38"/>
      <c r="Y78" s="35"/>
      <c r="Z78" s="35"/>
      <c r="AA78" s="35"/>
      <c r="AB78" s="35"/>
      <c r="AC78" s="35"/>
      <c r="AD78" s="35"/>
      <c r="AE78" s="46"/>
      <c r="AF78" s="40"/>
      <c r="AG78" s="40"/>
      <c r="AH78" s="40"/>
      <c r="AI78" s="41"/>
      <c r="AJ78" s="25">
        <f t="shared" si="3"/>
        <v>0</v>
      </c>
      <c r="AK78" s="42">
        <f t="shared" si="4"/>
        <v>0</v>
      </c>
      <c r="AL78" s="27">
        <f t="shared" si="5"/>
        <v>1</v>
      </c>
      <c r="AM78" s="28"/>
      <c r="AN78" s="28"/>
      <c r="AO78" s="28"/>
    </row>
    <row r="79">
      <c r="A79" s="37">
        <v>77.0</v>
      </c>
      <c r="B79" s="60" t="s">
        <v>347</v>
      </c>
      <c r="C79" s="100" t="s">
        <v>348</v>
      </c>
      <c r="D79" s="100" t="s">
        <v>349</v>
      </c>
      <c r="E79" s="101">
        <v>7.483352743E9</v>
      </c>
      <c r="F79" s="101" t="s">
        <v>350</v>
      </c>
      <c r="G79" s="101">
        <v>9.900578637E9</v>
      </c>
      <c r="H79" s="49"/>
      <c r="I79" s="49"/>
      <c r="J79" s="49"/>
      <c r="K79" s="49"/>
      <c r="L79" s="49"/>
      <c r="M79" s="49"/>
      <c r="N79" s="49"/>
      <c r="O79" s="49"/>
      <c r="P79" s="38">
        <v>5.0</v>
      </c>
      <c r="Q79" s="49"/>
      <c r="R79" s="35"/>
      <c r="S79" s="35"/>
      <c r="T79" s="38">
        <v>5.0</v>
      </c>
      <c r="U79" s="92">
        <v>5.0</v>
      </c>
      <c r="V79" s="38"/>
      <c r="W79" s="38"/>
      <c r="X79" s="38"/>
      <c r="Y79" s="35">
        <v>5.0</v>
      </c>
      <c r="Z79" s="35">
        <v>5.0</v>
      </c>
      <c r="AA79" s="35"/>
      <c r="AB79" s="35">
        <v>5.0</v>
      </c>
      <c r="AC79" s="35">
        <v>5.0</v>
      </c>
      <c r="AD79" s="35"/>
      <c r="AE79" s="46"/>
      <c r="AF79" s="40"/>
      <c r="AG79" s="40">
        <v>5.0</v>
      </c>
      <c r="AH79" s="40"/>
      <c r="AI79" s="41"/>
      <c r="AJ79" s="25">
        <f t="shared" si="3"/>
        <v>30</v>
      </c>
      <c r="AK79" s="42">
        <f t="shared" si="4"/>
        <v>42.85714286</v>
      </c>
      <c r="AL79" s="27">
        <f t="shared" si="5"/>
        <v>7</v>
      </c>
      <c r="AM79" s="28"/>
      <c r="AN79" s="28"/>
      <c r="AO79" s="28"/>
    </row>
    <row r="80">
      <c r="A80" s="37">
        <v>78.0</v>
      </c>
      <c r="B80" s="60" t="s">
        <v>351</v>
      </c>
      <c r="C80" s="98" t="s">
        <v>352</v>
      </c>
      <c r="D80" s="98" t="s">
        <v>353</v>
      </c>
      <c r="E80" s="99">
        <v>9.108704659E9</v>
      </c>
      <c r="F80" s="99" t="s">
        <v>354</v>
      </c>
      <c r="G80" s="99">
        <v>9.84594991E9</v>
      </c>
      <c r="H80" s="49"/>
      <c r="I80" s="49"/>
      <c r="J80" s="49"/>
      <c r="K80" s="49"/>
      <c r="L80" s="49"/>
      <c r="M80" s="49"/>
      <c r="N80" s="49"/>
      <c r="O80" s="49"/>
      <c r="P80" s="49"/>
      <c r="Q80" s="38">
        <v>5.0</v>
      </c>
      <c r="R80" s="35"/>
      <c r="S80" s="35"/>
      <c r="T80" s="38"/>
      <c r="U80" s="92"/>
      <c r="V80" s="38"/>
      <c r="W80" s="38"/>
      <c r="X80" s="38">
        <v>5.0</v>
      </c>
      <c r="Y80" s="35"/>
      <c r="Z80" s="35"/>
      <c r="AA80" s="35"/>
      <c r="AB80" s="35">
        <v>5.0</v>
      </c>
      <c r="AC80" s="35">
        <v>5.0</v>
      </c>
      <c r="AD80" s="35"/>
      <c r="AE80" s="46"/>
      <c r="AF80" s="40"/>
      <c r="AG80" s="40"/>
      <c r="AH80" s="40"/>
      <c r="AI80" s="41"/>
      <c r="AJ80" s="25">
        <f t="shared" si="3"/>
        <v>15</v>
      </c>
      <c r="AK80" s="42">
        <f t="shared" si="4"/>
        <v>21.42857143</v>
      </c>
      <c r="AL80" s="27">
        <f t="shared" si="5"/>
        <v>4</v>
      </c>
      <c r="AM80" s="28"/>
      <c r="AN80" s="28"/>
      <c r="AO80" s="28"/>
    </row>
    <row r="81">
      <c r="A81" s="37">
        <v>79.0</v>
      </c>
      <c r="B81" s="60" t="s">
        <v>355</v>
      </c>
      <c r="C81" s="100" t="s">
        <v>356</v>
      </c>
      <c r="D81" s="100" t="s">
        <v>357</v>
      </c>
      <c r="E81" s="101">
        <v>8.884443699E9</v>
      </c>
      <c r="F81" s="101" t="s">
        <v>358</v>
      </c>
      <c r="G81" s="101">
        <v>9.900074365E9</v>
      </c>
      <c r="H81" s="49"/>
      <c r="I81" s="49"/>
      <c r="J81" s="49"/>
      <c r="K81" s="49"/>
      <c r="L81" s="49"/>
      <c r="M81" s="49"/>
      <c r="N81" s="49"/>
      <c r="O81" s="49"/>
      <c r="P81" s="49"/>
      <c r="Q81" s="38">
        <v>5.0</v>
      </c>
      <c r="R81" s="35"/>
      <c r="S81" s="35"/>
      <c r="T81" s="38"/>
      <c r="U81" s="92"/>
      <c r="V81" s="38"/>
      <c r="W81" s="38"/>
      <c r="X81" s="38"/>
      <c r="Y81" s="35"/>
      <c r="Z81" s="35"/>
      <c r="AA81" s="35"/>
      <c r="AB81" s="35"/>
      <c r="AC81" s="35"/>
      <c r="AD81" s="35"/>
      <c r="AE81" s="46"/>
      <c r="AF81" s="40"/>
      <c r="AG81" s="40"/>
      <c r="AH81" s="40"/>
      <c r="AI81" s="41"/>
      <c r="AJ81" s="25">
        <f t="shared" si="3"/>
        <v>0</v>
      </c>
      <c r="AK81" s="42">
        <f t="shared" si="4"/>
        <v>0</v>
      </c>
      <c r="AL81" s="27">
        <f t="shared" si="5"/>
        <v>1</v>
      </c>
      <c r="AM81" s="28"/>
      <c r="AN81" s="28"/>
      <c r="AO81" s="28"/>
    </row>
    <row r="82">
      <c r="A82" s="37">
        <v>80.0</v>
      </c>
      <c r="B82" s="60" t="s">
        <v>359</v>
      </c>
      <c r="C82" s="98" t="s">
        <v>360</v>
      </c>
      <c r="D82" s="98" t="s">
        <v>361</v>
      </c>
      <c r="E82" s="99">
        <v>9.448295754E9</v>
      </c>
      <c r="F82" s="99" t="s">
        <v>362</v>
      </c>
      <c r="G82" s="99">
        <v>8.970443294E9</v>
      </c>
      <c r="H82" s="49"/>
      <c r="I82" s="49"/>
      <c r="J82" s="49"/>
      <c r="K82" s="49"/>
      <c r="L82" s="49"/>
      <c r="M82" s="49"/>
      <c r="N82" s="49"/>
      <c r="O82" s="49"/>
      <c r="P82" s="49"/>
      <c r="Q82" s="38"/>
      <c r="R82" s="35">
        <v>5.0</v>
      </c>
      <c r="S82" s="35"/>
      <c r="T82" s="38"/>
      <c r="U82" s="92">
        <v>5.0</v>
      </c>
      <c r="V82" s="38"/>
      <c r="W82" s="38"/>
      <c r="X82" s="38"/>
      <c r="Y82" s="35"/>
      <c r="Z82" s="35"/>
      <c r="AA82" s="35"/>
      <c r="AB82" s="35"/>
      <c r="AC82" s="35"/>
      <c r="AD82" s="35"/>
      <c r="AE82" s="46"/>
      <c r="AF82" s="40"/>
      <c r="AG82" s="40"/>
      <c r="AH82" s="40"/>
      <c r="AI82" s="41"/>
      <c r="AJ82" s="25">
        <f t="shared" si="3"/>
        <v>10</v>
      </c>
      <c r="AK82" s="42">
        <f t="shared" si="4"/>
        <v>14.28571429</v>
      </c>
      <c r="AL82" s="27">
        <f t="shared" si="5"/>
        <v>2</v>
      </c>
      <c r="AM82" s="28"/>
      <c r="AN82" s="28"/>
      <c r="AO82" s="28"/>
    </row>
    <row r="83">
      <c r="A83" s="37">
        <v>81.0</v>
      </c>
      <c r="B83" s="60" t="s">
        <v>363</v>
      </c>
      <c r="C83" s="100" t="s">
        <v>364</v>
      </c>
      <c r="D83" s="100" t="s">
        <v>365</v>
      </c>
      <c r="E83" s="101">
        <v>9.620470425E9</v>
      </c>
      <c r="F83" s="101" t="s">
        <v>366</v>
      </c>
      <c r="G83" s="101">
        <v>9.108714541E9</v>
      </c>
      <c r="H83" s="49"/>
      <c r="I83" s="49"/>
      <c r="J83" s="49"/>
      <c r="K83" s="49"/>
      <c r="L83" s="49"/>
      <c r="M83" s="49"/>
      <c r="N83" s="49"/>
      <c r="O83" s="102"/>
      <c r="P83" s="102"/>
      <c r="Q83" s="102"/>
      <c r="R83" s="38">
        <v>5.0</v>
      </c>
      <c r="S83" s="49"/>
      <c r="T83" s="49"/>
      <c r="U83" s="92"/>
      <c r="V83" s="38"/>
      <c r="W83" s="38"/>
      <c r="X83" s="38"/>
      <c r="Y83" s="35"/>
      <c r="Z83" s="35">
        <v>5.0</v>
      </c>
      <c r="AA83" s="35"/>
      <c r="AB83" s="35"/>
      <c r="AC83" s="35"/>
      <c r="AD83" s="35"/>
      <c r="AE83" s="46"/>
      <c r="AF83" s="40"/>
      <c r="AG83" s="40"/>
      <c r="AH83" s="40"/>
      <c r="AI83" s="41"/>
      <c r="AJ83" s="25">
        <f t="shared" si="3"/>
        <v>10</v>
      </c>
      <c r="AK83" s="42">
        <f t="shared" si="4"/>
        <v>14.28571429</v>
      </c>
      <c r="AL83" s="27">
        <f t="shared" si="5"/>
        <v>2</v>
      </c>
      <c r="AM83" s="28"/>
      <c r="AN83" s="28"/>
      <c r="AO83" s="28"/>
    </row>
    <row r="84">
      <c r="A84" s="37">
        <v>82.0</v>
      </c>
      <c r="B84" s="60" t="s">
        <v>367</v>
      </c>
      <c r="C84" s="98" t="s">
        <v>368</v>
      </c>
      <c r="D84" s="98" t="s">
        <v>369</v>
      </c>
      <c r="E84" s="99">
        <v>9.972299992E9</v>
      </c>
      <c r="F84" s="99" t="s">
        <v>370</v>
      </c>
      <c r="G84" s="99">
        <v>9.731601996E9</v>
      </c>
      <c r="H84" s="49"/>
      <c r="I84" s="49"/>
      <c r="J84" s="49"/>
      <c r="K84" s="49"/>
      <c r="L84" s="49"/>
      <c r="M84" s="49"/>
      <c r="N84" s="49"/>
      <c r="O84" s="102"/>
      <c r="P84" s="102"/>
      <c r="Q84" s="102"/>
      <c r="R84" s="38">
        <v>5.0</v>
      </c>
      <c r="S84" s="49"/>
      <c r="T84" s="49"/>
      <c r="U84" s="92"/>
      <c r="V84" s="38"/>
      <c r="W84" s="38"/>
      <c r="X84" s="38"/>
      <c r="Y84" s="35"/>
      <c r="Z84" s="35"/>
      <c r="AA84" s="35"/>
      <c r="AB84" s="35"/>
      <c r="AC84" s="35"/>
      <c r="AD84" s="35"/>
      <c r="AE84" s="46"/>
      <c r="AF84" s="40"/>
      <c r="AG84" s="40"/>
      <c r="AH84" s="40"/>
      <c r="AI84" s="41"/>
      <c r="AJ84" s="25">
        <f t="shared" si="3"/>
        <v>5</v>
      </c>
      <c r="AK84" s="42">
        <f t="shared" si="4"/>
        <v>7.142857143</v>
      </c>
      <c r="AL84" s="27">
        <f t="shared" si="5"/>
        <v>1</v>
      </c>
      <c r="AM84" s="28"/>
      <c r="AN84" s="28"/>
      <c r="AO84" s="28"/>
    </row>
    <row r="85">
      <c r="A85" s="37">
        <v>83.0</v>
      </c>
      <c r="B85" s="60" t="s">
        <v>371</v>
      </c>
      <c r="C85" s="100" t="s">
        <v>372</v>
      </c>
      <c r="D85" s="100" t="s">
        <v>373</v>
      </c>
      <c r="E85" s="101">
        <v>8.130084908E9</v>
      </c>
      <c r="F85" s="101" t="s">
        <v>374</v>
      </c>
      <c r="G85" s="101" t="s">
        <v>375</v>
      </c>
      <c r="H85" s="49"/>
      <c r="I85" s="49"/>
      <c r="J85" s="49"/>
      <c r="K85" s="49"/>
      <c r="L85" s="49"/>
      <c r="M85" s="49"/>
      <c r="N85" s="49"/>
      <c r="O85" s="102"/>
      <c r="P85" s="102"/>
      <c r="Q85" s="102"/>
      <c r="R85" s="38">
        <v>5.0</v>
      </c>
      <c r="S85" s="49"/>
      <c r="T85" s="49"/>
      <c r="U85" s="92"/>
      <c r="V85" s="38"/>
      <c r="W85" s="38"/>
      <c r="X85" s="38"/>
      <c r="Y85" s="35"/>
      <c r="Z85" s="35"/>
      <c r="AA85" s="35"/>
      <c r="AB85" s="35"/>
      <c r="AC85" s="35"/>
      <c r="AD85" s="35"/>
      <c r="AE85" s="46"/>
      <c r="AF85" s="40"/>
      <c r="AG85" s="40"/>
      <c r="AH85" s="40"/>
      <c r="AI85" s="41"/>
      <c r="AJ85" s="25">
        <f t="shared" si="3"/>
        <v>5</v>
      </c>
      <c r="AK85" s="42">
        <f t="shared" si="4"/>
        <v>7.142857143</v>
      </c>
      <c r="AL85" s="27">
        <f t="shared" si="5"/>
        <v>1</v>
      </c>
      <c r="AM85" s="28"/>
      <c r="AN85" s="28"/>
      <c r="AO85" s="28"/>
    </row>
    <row r="86">
      <c r="A86" s="37">
        <v>84.0</v>
      </c>
      <c r="B86" s="60" t="s">
        <v>376</v>
      </c>
      <c r="C86" s="98" t="s">
        <v>377</v>
      </c>
      <c r="D86" s="98" t="s">
        <v>378</v>
      </c>
      <c r="E86" s="99">
        <v>8.582941024E9</v>
      </c>
      <c r="F86" s="99" t="s">
        <v>379</v>
      </c>
      <c r="G86" s="99">
        <v>8.961177864E9</v>
      </c>
      <c r="H86" s="49"/>
      <c r="I86" s="49"/>
      <c r="J86" s="49"/>
      <c r="K86" s="49"/>
      <c r="L86" s="49"/>
      <c r="M86" s="49"/>
      <c r="N86" s="49"/>
      <c r="O86" s="102"/>
      <c r="P86" s="102"/>
      <c r="Q86" s="102"/>
      <c r="R86" s="38">
        <v>5.0</v>
      </c>
      <c r="S86" s="49"/>
      <c r="T86" s="49"/>
      <c r="U86" s="92"/>
      <c r="V86" s="38"/>
      <c r="W86" s="38"/>
      <c r="X86" s="38"/>
      <c r="Y86" s="35"/>
      <c r="Z86" s="35"/>
      <c r="AA86" s="35"/>
      <c r="AB86" s="35"/>
      <c r="AC86" s="35"/>
      <c r="AD86" s="35"/>
      <c r="AE86" s="46"/>
      <c r="AF86" s="40"/>
      <c r="AG86" s="40"/>
      <c r="AH86" s="40"/>
      <c r="AI86" s="41"/>
      <c r="AJ86" s="25">
        <f t="shared" si="3"/>
        <v>5</v>
      </c>
      <c r="AK86" s="42">
        <f t="shared" si="4"/>
        <v>7.142857143</v>
      </c>
      <c r="AL86" s="27">
        <f t="shared" si="5"/>
        <v>1</v>
      </c>
      <c r="AM86" s="28"/>
      <c r="AN86" s="28"/>
      <c r="AO86" s="28"/>
    </row>
    <row r="87">
      <c r="A87" s="37">
        <v>85.0</v>
      </c>
      <c r="B87" s="60" t="s">
        <v>380</v>
      </c>
      <c r="C87" s="100" t="s">
        <v>381</v>
      </c>
      <c r="D87" s="100" t="s">
        <v>382</v>
      </c>
      <c r="E87" s="101">
        <v>9.844273095E9</v>
      </c>
      <c r="F87" s="101" t="s">
        <v>383</v>
      </c>
      <c r="G87" s="101">
        <v>9.964016859E9</v>
      </c>
      <c r="H87" s="49"/>
      <c r="I87" s="49"/>
      <c r="J87" s="49"/>
      <c r="K87" s="49"/>
      <c r="L87" s="49"/>
      <c r="M87" s="49"/>
      <c r="N87" s="49"/>
      <c r="O87" s="102"/>
      <c r="P87" s="102"/>
      <c r="Q87" s="102"/>
      <c r="R87" s="38">
        <v>5.0</v>
      </c>
      <c r="S87" s="49"/>
      <c r="T87" s="49"/>
      <c r="U87" s="92">
        <v>5.0</v>
      </c>
      <c r="V87" s="38">
        <v>5.0</v>
      </c>
      <c r="W87" s="38">
        <v>10.0</v>
      </c>
      <c r="X87" s="38"/>
      <c r="Y87" s="35">
        <v>5.0</v>
      </c>
      <c r="Z87" s="35">
        <v>5.0</v>
      </c>
      <c r="AA87" s="35">
        <v>5.0</v>
      </c>
      <c r="AB87" s="35"/>
      <c r="AC87" s="35"/>
      <c r="AD87" s="35"/>
      <c r="AE87" s="46">
        <v>5.0</v>
      </c>
      <c r="AF87" s="40"/>
      <c r="AG87" s="40"/>
      <c r="AH87" s="40">
        <v>5.0</v>
      </c>
      <c r="AI87" s="41"/>
      <c r="AJ87" s="25">
        <f t="shared" si="3"/>
        <v>45</v>
      </c>
      <c r="AK87" s="42">
        <f t="shared" si="4"/>
        <v>64.28571429</v>
      </c>
      <c r="AL87" s="27">
        <f t="shared" si="5"/>
        <v>8</v>
      </c>
      <c r="AM87" s="28"/>
      <c r="AN87" s="28"/>
      <c r="AO87" s="28"/>
    </row>
    <row r="88">
      <c r="A88" s="37">
        <v>86.0</v>
      </c>
      <c r="B88" s="60" t="s">
        <v>384</v>
      </c>
      <c r="C88" s="100" t="s">
        <v>385</v>
      </c>
      <c r="D88" s="100" t="s">
        <v>386</v>
      </c>
      <c r="E88" s="101">
        <v>7.015067219E9</v>
      </c>
      <c r="F88" s="101" t="s">
        <v>387</v>
      </c>
      <c r="G88" s="101">
        <v>7.880201271E9</v>
      </c>
      <c r="H88" s="49"/>
      <c r="I88" s="49"/>
      <c r="J88" s="49"/>
      <c r="K88" s="49"/>
      <c r="L88" s="49"/>
      <c r="M88" s="49"/>
      <c r="N88" s="49"/>
      <c r="O88" s="102"/>
      <c r="P88" s="102"/>
      <c r="Q88" s="102"/>
      <c r="R88" s="38">
        <v>5.0</v>
      </c>
      <c r="S88" s="49"/>
      <c r="T88" s="49"/>
      <c r="U88" s="92"/>
      <c r="V88" s="38"/>
      <c r="W88" s="38"/>
      <c r="X88" s="38"/>
      <c r="Y88" s="35"/>
      <c r="Z88" s="35"/>
      <c r="AA88" s="35"/>
      <c r="AB88" s="35"/>
      <c r="AC88" s="35"/>
      <c r="AD88" s="35"/>
      <c r="AE88" s="46">
        <v>5.0</v>
      </c>
      <c r="AF88" s="40"/>
      <c r="AG88" s="40"/>
      <c r="AH88" s="40"/>
      <c r="AI88" s="41"/>
      <c r="AJ88" s="25">
        <f t="shared" si="3"/>
        <v>10</v>
      </c>
      <c r="AK88" s="42">
        <f t="shared" si="4"/>
        <v>14.28571429</v>
      </c>
      <c r="AL88" s="27">
        <f t="shared" si="5"/>
        <v>2</v>
      </c>
      <c r="AM88" s="28"/>
      <c r="AN88" s="28"/>
      <c r="AO88" s="28"/>
    </row>
    <row r="89">
      <c r="A89" s="37">
        <v>87.0</v>
      </c>
      <c r="B89" s="60" t="s">
        <v>388</v>
      </c>
      <c r="C89" s="98" t="s">
        <v>389</v>
      </c>
      <c r="D89" s="98" t="s">
        <v>390</v>
      </c>
      <c r="E89" s="99">
        <v>9.81604736E9</v>
      </c>
      <c r="F89" s="99" t="s">
        <v>391</v>
      </c>
      <c r="G89" s="99">
        <v>8.222800797E9</v>
      </c>
      <c r="H89" s="49"/>
      <c r="I89" s="49"/>
      <c r="J89" s="49"/>
      <c r="K89" s="49"/>
      <c r="L89" s="49"/>
      <c r="M89" s="49"/>
      <c r="N89" s="49"/>
      <c r="O89" s="102"/>
      <c r="P89" s="102"/>
      <c r="Q89" s="102"/>
      <c r="R89" s="38">
        <v>5.0</v>
      </c>
      <c r="S89" s="49"/>
      <c r="T89" s="49"/>
      <c r="U89" s="92"/>
      <c r="V89" s="38"/>
      <c r="W89" s="38"/>
      <c r="X89" s="38"/>
      <c r="Y89" s="35"/>
      <c r="Z89" s="35"/>
      <c r="AA89" s="35"/>
      <c r="AB89" s="35"/>
      <c r="AC89" s="35"/>
      <c r="AD89" s="35"/>
      <c r="AE89" s="46"/>
      <c r="AF89" s="40"/>
      <c r="AG89" s="40"/>
      <c r="AH89" s="40"/>
      <c r="AI89" s="41"/>
      <c r="AJ89" s="25">
        <f t="shared" si="3"/>
        <v>5</v>
      </c>
      <c r="AK89" s="42">
        <f t="shared" si="4"/>
        <v>7.142857143</v>
      </c>
      <c r="AL89" s="27">
        <f t="shared" si="5"/>
        <v>1</v>
      </c>
      <c r="AM89" s="28"/>
      <c r="AN89" s="28"/>
      <c r="AO89" s="28"/>
    </row>
    <row r="90">
      <c r="A90" s="37">
        <v>88.0</v>
      </c>
      <c r="B90" s="60" t="s">
        <v>392</v>
      </c>
      <c r="C90" s="100" t="s">
        <v>393</v>
      </c>
      <c r="D90" s="100" t="s">
        <v>93</v>
      </c>
      <c r="E90" s="101">
        <v>9.845015522E9</v>
      </c>
      <c r="F90" s="101" t="s">
        <v>394</v>
      </c>
      <c r="G90" s="101">
        <v>9.945660005E9</v>
      </c>
      <c r="H90" s="49"/>
      <c r="I90" s="49"/>
      <c r="J90" s="49"/>
      <c r="K90" s="49"/>
      <c r="L90" s="49"/>
      <c r="M90" s="49"/>
      <c r="N90" s="49"/>
      <c r="O90" s="102"/>
      <c r="P90" s="102"/>
      <c r="Q90" s="102"/>
      <c r="R90" s="38">
        <v>5.0</v>
      </c>
      <c r="S90" s="49"/>
      <c r="T90" s="49"/>
      <c r="U90" s="92"/>
      <c r="V90" s="38"/>
      <c r="W90" s="38"/>
      <c r="X90" s="38"/>
      <c r="Y90" s="35"/>
      <c r="Z90" s="35"/>
      <c r="AA90" s="35"/>
      <c r="AB90" s="35"/>
      <c r="AC90" s="35"/>
      <c r="AD90" s="35"/>
      <c r="AE90" s="46"/>
      <c r="AF90" s="40"/>
      <c r="AG90" s="40"/>
      <c r="AH90" s="40"/>
      <c r="AI90" s="41"/>
      <c r="AJ90" s="25">
        <f t="shared" si="3"/>
        <v>5</v>
      </c>
      <c r="AK90" s="42">
        <f t="shared" si="4"/>
        <v>7.142857143</v>
      </c>
      <c r="AL90" s="27">
        <f t="shared" si="5"/>
        <v>1</v>
      </c>
      <c r="AM90" s="28"/>
      <c r="AN90" s="28"/>
      <c r="AO90" s="28"/>
    </row>
    <row r="91">
      <c r="A91" s="37">
        <v>89.0</v>
      </c>
      <c r="B91" s="60" t="s">
        <v>395</v>
      </c>
      <c r="C91" s="98" t="s">
        <v>393</v>
      </c>
      <c r="D91" s="98" t="s">
        <v>396</v>
      </c>
      <c r="E91" s="99">
        <v>9.845015522E9</v>
      </c>
      <c r="F91" s="99" t="s">
        <v>394</v>
      </c>
      <c r="G91" s="99">
        <v>9.945660005E9</v>
      </c>
      <c r="H91" s="49"/>
      <c r="I91" s="49"/>
      <c r="J91" s="49"/>
      <c r="K91" s="49"/>
      <c r="L91" s="49"/>
      <c r="M91" s="49"/>
      <c r="N91" s="49"/>
      <c r="O91" s="102"/>
      <c r="P91" s="102"/>
      <c r="Q91" s="102"/>
      <c r="R91" s="49"/>
      <c r="S91" s="38">
        <v>5.0</v>
      </c>
      <c r="T91" s="38"/>
      <c r="U91" s="92"/>
      <c r="V91" s="38"/>
      <c r="W91" s="38"/>
      <c r="X91" s="38"/>
      <c r="Y91" s="35"/>
      <c r="Z91" s="35"/>
      <c r="AA91" s="35"/>
      <c r="AB91" s="35"/>
      <c r="AC91" s="35"/>
      <c r="AD91" s="35"/>
      <c r="AE91" s="46"/>
      <c r="AF91" s="40"/>
      <c r="AG91" s="40"/>
      <c r="AH91" s="40"/>
      <c r="AI91" s="41"/>
      <c r="AJ91" s="25">
        <f t="shared" si="3"/>
        <v>5</v>
      </c>
      <c r="AK91" s="42">
        <f t="shared" si="4"/>
        <v>7.142857143</v>
      </c>
      <c r="AL91" s="27">
        <f t="shared" si="5"/>
        <v>1</v>
      </c>
      <c r="AM91" s="28"/>
      <c r="AN91" s="28"/>
      <c r="AO91" s="28"/>
    </row>
    <row r="92">
      <c r="A92" s="37">
        <v>90.0</v>
      </c>
      <c r="B92" s="60" t="s">
        <v>397</v>
      </c>
      <c r="C92" s="100" t="s">
        <v>398</v>
      </c>
      <c r="D92" s="100" t="s">
        <v>399</v>
      </c>
      <c r="E92" s="101">
        <v>7.348952643E9</v>
      </c>
      <c r="F92" s="101" t="s">
        <v>400</v>
      </c>
      <c r="G92" s="101">
        <v>9.611980263E9</v>
      </c>
      <c r="H92" s="49"/>
      <c r="I92" s="49"/>
      <c r="J92" s="49"/>
      <c r="K92" s="49"/>
      <c r="L92" s="49"/>
      <c r="M92" s="49"/>
      <c r="N92" s="49"/>
      <c r="O92" s="102"/>
      <c r="P92" s="102"/>
      <c r="Q92" s="102"/>
      <c r="R92" s="49"/>
      <c r="S92" s="49"/>
      <c r="T92" s="38">
        <v>5.0</v>
      </c>
      <c r="U92" s="92"/>
      <c r="V92" s="38"/>
      <c r="W92" s="38"/>
      <c r="X92" s="38"/>
      <c r="Y92" s="35"/>
      <c r="Z92" s="35"/>
      <c r="AA92" s="35"/>
      <c r="AB92" s="35"/>
      <c r="AC92" s="35"/>
      <c r="AD92" s="35"/>
      <c r="AE92" s="46"/>
      <c r="AF92" s="40"/>
      <c r="AG92" s="40"/>
      <c r="AH92" s="40"/>
      <c r="AI92" s="41"/>
      <c r="AJ92" s="25">
        <f t="shared" si="3"/>
        <v>5</v>
      </c>
      <c r="AK92" s="42">
        <f t="shared" si="4"/>
        <v>7.142857143</v>
      </c>
      <c r="AL92" s="27">
        <f t="shared" si="5"/>
        <v>1</v>
      </c>
      <c r="AM92" s="28"/>
      <c r="AN92" s="28"/>
      <c r="AO92" s="28"/>
    </row>
    <row r="93">
      <c r="A93" s="37">
        <v>91.0</v>
      </c>
      <c r="B93" s="60" t="s">
        <v>401</v>
      </c>
      <c r="C93" s="98" t="s">
        <v>402</v>
      </c>
      <c r="D93" s="98" t="s">
        <v>403</v>
      </c>
      <c r="E93" s="99">
        <v>9.620003289E9</v>
      </c>
      <c r="F93" s="99" t="s">
        <v>404</v>
      </c>
      <c r="G93" s="99">
        <v>7.204024544E9</v>
      </c>
      <c r="H93" s="49"/>
      <c r="I93" s="49"/>
      <c r="J93" s="49"/>
      <c r="K93" s="49"/>
      <c r="L93" s="49"/>
      <c r="M93" s="49"/>
      <c r="N93" s="49"/>
      <c r="O93" s="102"/>
      <c r="P93" s="102"/>
      <c r="Q93" s="102"/>
      <c r="R93" s="49"/>
      <c r="S93" s="49"/>
      <c r="T93" s="38">
        <v>5.0</v>
      </c>
      <c r="U93" s="92">
        <v>5.0</v>
      </c>
      <c r="V93" s="38">
        <v>5.0</v>
      </c>
      <c r="W93" s="38"/>
      <c r="X93" s="38">
        <v>5.0</v>
      </c>
      <c r="Y93" s="35"/>
      <c r="Z93" s="35">
        <v>5.0</v>
      </c>
      <c r="AA93" s="35"/>
      <c r="AB93" s="35">
        <v>5.0</v>
      </c>
      <c r="AC93" s="35"/>
      <c r="AD93" s="35"/>
      <c r="AE93" s="46"/>
      <c r="AF93" s="40"/>
      <c r="AG93" s="40">
        <v>5.0</v>
      </c>
      <c r="AH93" s="40"/>
      <c r="AI93" s="41"/>
      <c r="AJ93" s="25">
        <f t="shared" si="3"/>
        <v>30</v>
      </c>
      <c r="AK93" s="42">
        <f t="shared" si="4"/>
        <v>42.85714286</v>
      </c>
      <c r="AL93" s="27">
        <f t="shared" si="5"/>
        <v>6</v>
      </c>
      <c r="AM93" s="28"/>
      <c r="AN93" s="28"/>
      <c r="AO93" s="28"/>
    </row>
    <row r="94">
      <c r="A94" s="35">
        <v>92.0</v>
      </c>
      <c r="B94" s="103" t="s">
        <v>405</v>
      </c>
      <c r="C94" s="100" t="s">
        <v>406</v>
      </c>
      <c r="D94" s="100" t="s">
        <v>407</v>
      </c>
      <c r="E94" s="101">
        <v>9.900087939E9</v>
      </c>
      <c r="F94" s="101" t="s">
        <v>408</v>
      </c>
      <c r="G94" s="101">
        <v>9.886121046E9</v>
      </c>
      <c r="H94" s="49"/>
      <c r="I94" s="49"/>
      <c r="J94" s="49"/>
      <c r="K94" s="49"/>
      <c r="L94" s="49"/>
      <c r="M94" s="49"/>
      <c r="N94" s="49"/>
      <c r="O94" s="102"/>
      <c r="P94" s="102"/>
      <c r="Q94" s="102"/>
      <c r="R94" s="49"/>
      <c r="S94" s="49"/>
      <c r="T94" s="49"/>
      <c r="U94" s="92">
        <v>5.0</v>
      </c>
      <c r="V94" s="49"/>
      <c r="W94" s="49"/>
      <c r="X94" s="49"/>
      <c r="Y94" s="35"/>
      <c r="Z94" s="35"/>
      <c r="AA94" s="35"/>
      <c r="AB94" s="35"/>
      <c r="AC94" s="35"/>
      <c r="AD94" s="35"/>
      <c r="AE94" s="46"/>
      <c r="AF94" s="40"/>
      <c r="AG94" s="40"/>
      <c r="AH94" s="40"/>
      <c r="AI94" s="41"/>
      <c r="AJ94" s="25">
        <f t="shared" si="3"/>
        <v>5</v>
      </c>
      <c r="AK94" s="42">
        <f t="shared" si="4"/>
        <v>7.142857143</v>
      </c>
      <c r="AL94" s="27">
        <f t="shared" si="5"/>
        <v>1</v>
      </c>
      <c r="AM94" s="28"/>
      <c r="AN94" s="28"/>
      <c r="AO94" s="28"/>
    </row>
    <row r="95">
      <c r="A95" s="35">
        <v>93.0</v>
      </c>
      <c r="B95" s="104" t="s">
        <v>409</v>
      </c>
      <c r="C95" s="98" t="s">
        <v>410</v>
      </c>
      <c r="D95" s="98" t="s">
        <v>411</v>
      </c>
      <c r="E95" s="99">
        <v>9.930023024E9</v>
      </c>
      <c r="F95" s="99" t="s">
        <v>412</v>
      </c>
      <c r="G95" s="99">
        <v>9.92080509E9</v>
      </c>
      <c r="H95" s="49"/>
      <c r="I95" s="49"/>
      <c r="J95" s="49"/>
      <c r="K95" s="49"/>
      <c r="L95" s="49"/>
      <c r="M95" s="49"/>
      <c r="N95" s="49"/>
      <c r="O95" s="102"/>
      <c r="P95" s="102"/>
      <c r="Q95" s="102"/>
      <c r="R95" s="49"/>
      <c r="S95" s="49"/>
      <c r="T95" s="49"/>
      <c r="U95" s="92">
        <v>5.0</v>
      </c>
      <c r="V95" s="49"/>
      <c r="W95" s="49"/>
      <c r="X95" s="49"/>
      <c r="Y95" s="35"/>
      <c r="Z95" s="35"/>
      <c r="AA95" s="35"/>
      <c r="AB95" s="35"/>
      <c r="AC95" s="35"/>
      <c r="AD95" s="35"/>
      <c r="AE95" s="46"/>
      <c r="AF95" s="40"/>
      <c r="AG95" s="40"/>
      <c r="AH95" s="40"/>
      <c r="AI95" s="41"/>
      <c r="AJ95" s="25">
        <f t="shared" si="3"/>
        <v>5</v>
      </c>
      <c r="AK95" s="42">
        <f t="shared" si="4"/>
        <v>7.142857143</v>
      </c>
      <c r="AL95" s="27">
        <f t="shared" si="5"/>
        <v>1</v>
      </c>
      <c r="AM95" s="28"/>
      <c r="AN95" s="28"/>
      <c r="AO95" s="28"/>
    </row>
    <row r="96">
      <c r="A96" s="35">
        <v>94.0</v>
      </c>
      <c r="B96" s="105" t="s">
        <v>413</v>
      </c>
      <c r="C96" s="100" t="s">
        <v>414</v>
      </c>
      <c r="D96" s="100" t="s">
        <v>415</v>
      </c>
      <c r="E96" s="101">
        <v>9.986045637E9</v>
      </c>
      <c r="F96" s="101" t="s">
        <v>416</v>
      </c>
      <c r="G96" s="101">
        <v>9.62041004E9</v>
      </c>
      <c r="H96" s="49"/>
      <c r="I96" s="49"/>
      <c r="J96" s="49"/>
      <c r="K96" s="49"/>
      <c r="L96" s="49"/>
      <c r="M96" s="49"/>
      <c r="N96" s="49"/>
      <c r="O96" s="102"/>
      <c r="P96" s="102"/>
      <c r="Q96" s="102"/>
      <c r="R96" s="49"/>
      <c r="S96" s="49"/>
      <c r="T96" s="49"/>
      <c r="U96" s="92">
        <v>5.0</v>
      </c>
      <c r="V96" s="49"/>
      <c r="W96" s="49"/>
      <c r="X96" s="49"/>
      <c r="Y96" s="35"/>
      <c r="Z96" s="35"/>
      <c r="AA96" s="35"/>
      <c r="AB96" s="35"/>
      <c r="AC96" s="35"/>
      <c r="AD96" s="35"/>
      <c r="AE96" s="46"/>
      <c r="AF96" s="40"/>
      <c r="AG96" s="40"/>
      <c r="AH96" s="40"/>
      <c r="AI96" s="41"/>
      <c r="AJ96" s="25">
        <f t="shared" si="3"/>
        <v>5</v>
      </c>
      <c r="AK96" s="42">
        <f t="shared" si="4"/>
        <v>7.142857143</v>
      </c>
      <c r="AL96" s="27">
        <f t="shared" si="5"/>
        <v>1</v>
      </c>
      <c r="AM96" s="28"/>
      <c r="AN96" s="28"/>
      <c r="AO96" s="28"/>
    </row>
    <row r="97">
      <c r="A97" s="35">
        <v>95.0</v>
      </c>
      <c r="B97" s="104" t="s">
        <v>417</v>
      </c>
      <c r="C97" s="98" t="s">
        <v>418</v>
      </c>
      <c r="D97" s="98" t="s">
        <v>419</v>
      </c>
      <c r="E97" s="99">
        <v>9.619638571E9</v>
      </c>
      <c r="F97" s="99" t="s">
        <v>420</v>
      </c>
      <c r="G97" s="99">
        <v>7.799836684E9</v>
      </c>
      <c r="H97" s="49"/>
      <c r="I97" s="49"/>
      <c r="J97" s="49"/>
      <c r="K97" s="49"/>
      <c r="L97" s="49"/>
      <c r="M97" s="49"/>
      <c r="N97" s="49"/>
      <c r="O97" s="102"/>
      <c r="P97" s="102"/>
      <c r="Q97" s="102"/>
      <c r="R97" s="49"/>
      <c r="S97" s="49"/>
      <c r="T97" s="49"/>
      <c r="U97" s="92">
        <v>5.0</v>
      </c>
      <c r="V97" s="49"/>
      <c r="W97" s="49"/>
      <c r="X97" s="49"/>
      <c r="Y97" s="35"/>
      <c r="Z97" s="35"/>
      <c r="AA97" s="35"/>
      <c r="AB97" s="35"/>
      <c r="AC97" s="35"/>
      <c r="AD97" s="35"/>
      <c r="AE97" s="46"/>
      <c r="AF97" s="40"/>
      <c r="AG97" s="40"/>
      <c r="AH97" s="40"/>
      <c r="AI97" s="41"/>
      <c r="AJ97" s="25">
        <f t="shared" si="3"/>
        <v>5</v>
      </c>
      <c r="AK97" s="42">
        <f t="shared" si="4"/>
        <v>7.142857143</v>
      </c>
      <c r="AL97" s="27">
        <f t="shared" si="5"/>
        <v>1</v>
      </c>
      <c r="AM97" s="28"/>
      <c r="AN97" s="28"/>
      <c r="AO97" s="28"/>
    </row>
    <row r="98">
      <c r="A98" s="35">
        <v>96.0</v>
      </c>
      <c r="B98" s="105" t="s">
        <v>421</v>
      </c>
      <c r="C98" s="100" t="s">
        <v>422</v>
      </c>
      <c r="D98" s="100" t="s">
        <v>423</v>
      </c>
      <c r="E98" s="101">
        <v>9.886375209E9</v>
      </c>
      <c r="F98" s="101" t="s">
        <v>424</v>
      </c>
      <c r="G98" s="101">
        <v>9.092588955E9</v>
      </c>
      <c r="H98" s="49"/>
      <c r="I98" s="49"/>
      <c r="J98" s="49"/>
      <c r="K98" s="49"/>
      <c r="L98" s="49"/>
      <c r="M98" s="49"/>
      <c r="N98" s="49"/>
      <c r="O98" s="102"/>
      <c r="P98" s="102"/>
      <c r="Q98" s="102"/>
      <c r="R98" s="49"/>
      <c r="S98" s="49"/>
      <c r="T98" s="49"/>
      <c r="U98" s="92">
        <v>5.0</v>
      </c>
      <c r="V98" s="49"/>
      <c r="W98" s="49"/>
      <c r="X98" s="49"/>
      <c r="Y98" s="35"/>
      <c r="Z98" s="35"/>
      <c r="AA98" s="35"/>
      <c r="AB98" s="35"/>
      <c r="AC98" s="35"/>
      <c r="AD98" s="35"/>
      <c r="AE98" s="46"/>
      <c r="AF98" s="40"/>
      <c r="AG98" s="40"/>
      <c r="AH98" s="40"/>
      <c r="AI98" s="41"/>
      <c r="AJ98" s="25">
        <f t="shared" si="3"/>
        <v>5</v>
      </c>
      <c r="AK98" s="42">
        <f t="shared" si="4"/>
        <v>7.142857143</v>
      </c>
      <c r="AL98" s="27">
        <f t="shared" si="5"/>
        <v>1</v>
      </c>
      <c r="AM98" s="28"/>
      <c r="AN98" s="28"/>
      <c r="AO98" s="28"/>
    </row>
    <row r="99">
      <c r="A99" s="35">
        <v>97.0</v>
      </c>
      <c r="B99" s="104" t="s">
        <v>425</v>
      </c>
      <c r="C99" s="98" t="s">
        <v>426</v>
      </c>
      <c r="D99" s="98" t="s">
        <v>427</v>
      </c>
      <c r="E99" s="99">
        <v>9.845287041E9</v>
      </c>
      <c r="F99" s="99" t="s">
        <v>428</v>
      </c>
      <c r="G99" s="99">
        <v>9.632850223E9</v>
      </c>
      <c r="H99" s="49"/>
      <c r="I99" s="49"/>
      <c r="J99" s="49"/>
      <c r="K99" s="49"/>
      <c r="L99" s="49"/>
      <c r="M99" s="49"/>
      <c r="N99" s="49"/>
      <c r="O99" s="102"/>
      <c r="P99" s="102"/>
      <c r="Q99" s="102"/>
      <c r="R99" s="49"/>
      <c r="S99" s="49"/>
      <c r="T99" s="49"/>
      <c r="U99" s="92">
        <v>5.0</v>
      </c>
      <c r="V99" s="49"/>
      <c r="W99" s="49"/>
      <c r="X99" s="49"/>
      <c r="Y99" s="35"/>
      <c r="Z99" s="35"/>
      <c r="AA99" s="35"/>
      <c r="AB99" s="35"/>
      <c r="AC99" s="35"/>
      <c r="AD99" s="35"/>
      <c r="AE99" s="46"/>
      <c r="AF99" s="40"/>
      <c r="AG99" s="40"/>
      <c r="AH99" s="40"/>
      <c r="AI99" s="41"/>
      <c r="AJ99" s="25">
        <f t="shared" si="3"/>
        <v>5</v>
      </c>
      <c r="AK99" s="42">
        <f t="shared" si="4"/>
        <v>7.142857143</v>
      </c>
      <c r="AL99" s="27">
        <f t="shared" si="5"/>
        <v>1</v>
      </c>
      <c r="AM99" s="28"/>
      <c r="AN99" s="28"/>
      <c r="AO99" s="28"/>
    </row>
    <row r="100">
      <c r="A100" s="35">
        <v>98.0</v>
      </c>
      <c r="B100" s="106" t="s">
        <v>429</v>
      </c>
      <c r="C100" s="100" t="s">
        <v>430</v>
      </c>
      <c r="D100" s="100" t="s">
        <v>431</v>
      </c>
      <c r="E100" s="101">
        <v>8.971927947E9</v>
      </c>
      <c r="F100" s="101" t="s">
        <v>432</v>
      </c>
      <c r="G100" s="101">
        <v>9.980073855E9</v>
      </c>
      <c r="H100" s="49"/>
      <c r="I100" s="49"/>
      <c r="J100" s="49"/>
      <c r="K100" s="49"/>
      <c r="L100" s="49"/>
      <c r="M100" s="49"/>
      <c r="N100" s="49"/>
      <c r="O100" s="102"/>
      <c r="P100" s="102"/>
      <c r="Q100" s="102"/>
      <c r="R100" s="49"/>
      <c r="S100" s="49"/>
      <c r="T100" s="49"/>
      <c r="U100" s="92">
        <v>5.0</v>
      </c>
      <c r="V100" s="49"/>
      <c r="W100" s="49"/>
      <c r="X100" s="49"/>
      <c r="Y100" s="35"/>
      <c r="Z100" s="35"/>
      <c r="AA100" s="35"/>
      <c r="AB100" s="35"/>
      <c r="AC100" s="35"/>
      <c r="AD100" s="35"/>
      <c r="AE100" s="46"/>
      <c r="AF100" s="40"/>
      <c r="AG100" s="40"/>
      <c r="AH100" s="40"/>
      <c r="AI100" s="41"/>
      <c r="AJ100" s="25">
        <f t="shared" si="3"/>
        <v>5</v>
      </c>
      <c r="AK100" s="42">
        <f t="shared" si="4"/>
        <v>7.142857143</v>
      </c>
      <c r="AL100" s="27">
        <f t="shared" si="5"/>
        <v>1</v>
      </c>
      <c r="AM100" s="28"/>
      <c r="AN100" s="28"/>
      <c r="AO100" s="28"/>
    </row>
    <row r="101" ht="16.5" customHeight="1">
      <c r="A101" s="35">
        <v>99.0</v>
      </c>
      <c r="B101" s="105" t="s">
        <v>433</v>
      </c>
      <c r="C101" s="98" t="s">
        <v>434</v>
      </c>
      <c r="D101" s="98" t="s">
        <v>435</v>
      </c>
      <c r="E101" s="99">
        <v>7.022325123E9</v>
      </c>
      <c r="F101" s="99" t="s">
        <v>436</v>
      </c>
      <c r="G101" s="99">
        <v>9.8427991E9</v>
      </c>
      <c r="H101" s="49"/>
      <c r="I101" s="49"/>
      <c r="J101" s="49"/>
      <c r="K101" s="49"/>
      <c r="L101" s="49"/>
      <c r="M101" s="49"/>
      <c r="N101" s="49"/>
      <c r="O101" s="102"/>
      <c r="P101" s="102"/>
      <c r="Q101" s="102"/>
      <c r="R101" s="49"/>
      <c r="S101" s="49"/>
      <c r="T101" s="49"/>
      <c r="U101" s="92">
        <v>5.0</v>
      </c>
      <c r="V101" s="38">
        <v>5.0</v>
      </c>
      <c r="W101" s="49"/>
      <c r="X101" s="38">
        <v>5.0</v>
      </c>
      <c r="Y101" s="35"/>
      <c r="Z101" s="35">
        <v>5.0</v>
      </c>
      <c r="AA101" s="35"/>
      <c r="AB101" s="35"/>
      <c r="AC101" s="35">
        <v>5.0</v>
      </c>
      <c r="AD101" s="35"/>
      <c r="AE101" s="46"/>
      <c r="AF101" s="40"/>
      <c r="AG101" s="40"/>
      <c r="AH101" s="40"/>
      <c r="AI101" s="41"/>
      <c r="AJ101" s="25">
        <f t="shared" si="3"/>
        <v>25</v>
      </c>
      <c r="AK101" s="42">
        <f t="shared" si="4"/>
        <v>35.71428571</v>
      </c>
      <c r="AL101" s="27">
        <f t="shared" si="5"/>
        <v>5</v>
      </c>
      <c r="AM101" s="28"/>
      <c r="AN101" s="28"/>
      <c r="AO101" s="28"/>
    </row>
    <row r="102">
      <c r="A102" s="35">
        <v>100.0</v>
      </c>
      <c r="B102" s="104" t="s">
        <v>437</v>
      </c>
      <c r="C102" s="100" t="s">
        <v>438</v>
      </c>
      <c r="D102" s="100" t="s">
        <v>439</v>
      </c>
      <c r="E102" s="101">
        <v>9.739827007E9</v>
      </c>
      <c r="F102" s="101" t="s">
        <v>440</v>
      </c>
      <c r="G102" s="101">
        <v>9.980166321E9</v>
      </c>
      <c r="H102" s="49"/>
      <c r="I102" s="49"/>
      <c r="J102" s="49"/>
      <c r="K102" s="49"/>
      <c r="L102" s="49"/>
      <c r="M102" s="49"/>
      <c r="N102" s="49"/>
      <c r="O102" s="102"/>
      <c r="P102" s="102"/>
      <c r="Q102" s="102"/>
      <c r="R102" s="49"/>
      <c r="S102" s="49"/>
      <c r="T102" s="49"/>
      <c r="U102" s="92">
        <v>5.0</v>
      </c>
      <c r="V102" s="49"/>
      <c r="W102" s="49"/>
      <c r="X102" s="49"/>
      <c r="Y102" s="35"/>
      <c r="Z102" s="35"/>
      <c r="AA102" s="35"/>
      <c r="AB102" s="35"/>
      <c r="AC102" s="35"/>
      <c r="AD102" s="35"/>
      <c r="AE102" s="46"/>
      <c r="AF102" s="40"/>
      <c r="AG102" s="40"/>
      <c r="AH102" s="40"/>
      <c r="AI102" s="41"/>
      <c r="AJ102" s="25">
        <f t="shared" si="3"/>
        <v>5</v>
      </c>
      <c r="AK102" s="42">
        <f t="shared" si="4"/>
        <v>7.142857143</v>
      </c>
      <c r="AL102" s="27">
        <f t="shared" si="5"/>
        <v>1</v>
      </c>
      <c r="AM102" s="28"/>
      <c r="AN102" s="28"/>
      <c r="AO102" s="28"/>
    </row>
    <row r="103">
      <c r="A103" s="35">
        <v>101.0</v>
      </c>
      <c r="B103" s="105" t="s">
        <v>133</v>
      </c>
      <c r="C103" s="98" t="s">
        <v>441</v>
      </c>
      <c r="D103" s="98" t="s">
        <v>135</v>
      </c>
      <c r="E103" s="99">
        <v>8.970422349E9</v>
      </c>
      <c r="F103" s="99" t="s">
        <v>136</v>
      </c>
      <c r="G103" s="99">
        <v>9.945131526E9</v>
      </c>
      <c r="H103" s="49"/>
      <c r="I103" s="49"/>
      <c r="J103" s="49"/>
      <c r="K103" s="49"/>
      <c r="L103" s="49"/>
      <c r="M103" s="49"/>
      <c r="N103" s="49"/>
      <c r="O103" s="102"/>
      <c r="P103" s="102"/>
      <c r="Q103" s="102"/>
      <c r="R103" s="49"/>
      <c r="S103" s="49"/>
      <c r="T103" s="49"/>
      <c r="U103" s="92">
        <v>5.0</v>
      </c>
      <c r="V103" s="49"/>
      <c r="W103" s="49"/>
      <c r="X103" s="49"/>
      <c r="Y103" s="35"/>
      <c r="Z103" s="35"/>
      <c r="AA103" s="35"/>
      <c r="AB103" s="35"/>
      <c r="AC103" s="35"/>
      <c r="AD103" s="35"/>
      <c r="AE103" s="46"/>
      <c r="AF103" s="40"/>
      <c r="AG103" s="40"/>
      <c r="AH103" s="40"/>
      <c r="AI103" s="41"/>
      <c r="AJ103" s="25">
        <f t="shared" si="3"/>
        <v>5</v>
      </c>
      <c r="AK103" s="42">
        <f t="shared" si="4"/>
        <v>7.142857143</v>
      </c>
      <c r="AL103" s="27">
        <f t="shared" si="5"/>
        <v>1</v>
      </c>
      <c r="AM103" s="28"/>
      <c r="AN103" s="28"/>
      <c r="AO103" s="28"/>
    </row>
    <row r="104">
      <c r="A104" s="35">
        <v>102.0</v>
      </c>
      <c r="B104" s="104" t="s">
        <v>442</v>
      </c>
      <c r="C104" s="100" t="s">
        <v>443</v>
      </c>
      <c r="D104" s="100" t="s">
        <v>444</v>
      </c>
      <c r="E104" s="101">
        <v>9.84594991E9</v>
      </c>
      <c r="F104" s="101" t="s">
        <v>445</v>
      </c>
      <c r="G104" s="101">
        <v>9.108704659E9</v>
      </c>
      <c r="H104" s="49"/>
      <c r="I104" s="49"/>
      <c r="J104" s="49"/>
      <c r="K104" s="49"/>
      <c r="L104" s="49"/>
      <c r="M104" s="49"/>
      <c r="N104" s="49"/>
      <c r="O104" s="102"/>
      <c r="P104" s="102"/>
      <c r="Q104" s="102"/>
      <c r="R104" s="49"/>
      <c r="S104" s="49"/>
      <c r="T104" s="49"/>
      <c r="U104" s="92">
        <v>5.0</v>
      </c>
      <c r="V104" s="49"/>
      <c r="W104" s="49"/>
      <c r="X104" s="49"/>
      <c r="Y104" s="35"/>
      <c r="Z104" s="35"/>
      <c r="AA104" s="35"/>
      <c r="AB104" s="35"/>
      <c r="AC104" s="35"/>
      <c r="AD104" s="35"/>
      <c r="AE104" s="46"/>
      <c r="AF104" s="40"/>
      <c r="AG104" s="40"/>
      <c r="AH104" s="40"/>
      <c r="AI104" s="41"/>
      <c r="AJ104" s="25">
        <f t="shared" si="3"/>
        <v>5</v>
      </c>
      <c r="AK104" s="42">
        <f t="shared" si="4"/>
        <v>7.142857143</v>
      </c>
      <c r="AL104" s="27">
        <f t="shared" si="5"/>
        <v>1</v>
      </c>
      <c r="AM104" s="28"/>
      <c r="AN104" s="28"/>
      <c r="AO104" s="28"/>
    </row>
    <row r="105">
      <c r="A105" s="35">
        <v>103.0</v>
      </c>
      <c r="B105" s="106" t="s">
        <v>446</v>
      </c>
      <c r="C105" s="98" t="s">
        <v>447</v>
      </c>
      <c r="D105" s="98" t="s">
        <v>448</v>
      </c>
      <c r="E105" s="99">
        <v>9.880848338E9</v>
      </c>
      <c r="F105" s="99" t="s">
        <v>449</v>
      </c>
      <c r="G105" s="99">
        <v>9.663721282E9</v>
      </c>
      <c r="H105" s="49"/>
      <c r="I105" s="49"/>
      <c r="J105" s="49"/>
      <c r="K105" s="49"/>
      <c r="L105" s="49"/>
      <c r="M105" s="49"/>
      <c r="N105" s="49"/>
      <c r="O105" s="102"/>
      <c r="P105" s="102"/>
      <c r="Q105" s="102"/>
      <c r="R105" s="49"/>
      <c r="S105" s="49"/>
      <c r="T105" s="49"/>
      <c r="U105" s="92">
        <v>5.0</v>
      </c>
      <c r="V105" s="49"/>
      <c r="W105" s="49"/>
      <c r="X105" s="49"/>
      <c r="Y105" s="35"/>
      <c r="Z105" s="35"/>
      <c r="AA105" s="35"/>
      <c r="AB105" s="35"/>
      <c r="AC105" s="35"/>
      <c r="AD105" s="35"/>
      <c r="AE105" s="46"/>
      <c r="AF105" s="40"/>
      <c r="AG105" s="40"/>
      <c r="AH105" s="40"/>
      <c r="AI105" s="41"/>
      <c r="AJ105" s="25">
        <f t="shared" si="3"/>
        <v>5</v>
      </c>
      <c r="AK105" s="42">
        <f t="shared" si="4"/>
        <v>7.142857143</v>
      </c>
      <c r="AL105" s="27">
        <f t="shared" si="5"/>
        <v>1</v>
      </c>
      <c r="AM105" s="28"/>
      <c r="AN105" s="28"/>
      <c r="AO105" s="28"/>
    </row>
    <row r="106">
      <c r="A106" s="35">
        <v>104.0</v>
      </c>
      <c r="B106" s="104" t="s">
        <v>450</v>
      </c>
      <c r="C106" s="100" t="s">
        <v>451</v>
      </c>
      <c r="D106" s="100"/>
      <c r="E106" s="101">
        <v>9.663721282E9</v>
      </c>
      <c r="F106" s="101" t="s">
        <v>452</v>
      </c>
      <c r="G106" s="101">
        <v>9.880848338E9</v>
      </c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8"/>
      <c r="S106" s="108"/>
      <c r="T106" s="108"/>
      <c r="U106" s="109">
        <v>5.0</v>
      </c>
      <c r="V106" s="108"/>
      <c r="W106" s="110"/>
      <c r="X106" s="108"/>
      <c r="Y106" s="35"/>
      <c r="Z106" s="35"/>
      <c r="AA106" s="35"/>
      <c r="AB106" s="35"/>
      <c r="AC106" s="35"/>
      <c r="AD106" s="35"/>
      <c r="AE106" s="46"/>
      <c r="AF106" s="40"/>
      <c r="AG106" s="40"/>
      <c r="AH106" s="40"/>
      <c r="AI106" s="41"/>
      <c r="AJ106" s="25">
        <f t="shared" si="3"/>
        <v>5</v>
      </c>
      <c r="AK106" s="42">
        <f t="shared" si="4"/>
        <v>7.142857143</v>
      </c>
      <c r="AL106" s="27">
        <f t="shared" si="5"/>
        <v>1</v>
      </c>
    </row>
    <row r="107">
      <c r="A107" s="35">
        <v>105.0</v>
      </c>
      <c r="B107" s="105" t="s">
        <v>453</v>
      </c>
      <c r="C107" s="98" t="s">
        <v>454</v>
      </c>
      <c r="D107" s="98" t="s">
        <v>455</v>
      </c>
      <c r="E107" s="99">
        <v>7.975852121E9</v>
      </c>
      <c r="F107" s="99" t="s">
        <v>456</v>
      </c>
      <c r="G107" s="99">
        <v>7.411452867E9</v>
      </c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8"/>
      <c r="S107" s="108"/>
      <c r="T107" s="108"/>
      <c r="U107" s="109">
        <v>5.0</v>
      </c>
      <c r="V107" s="108"/>
      <c r="W107" s="110"/>
      <c r="X107" s="108"/>
      <c r="Y107" s="35"/>
      <c r="Z107" s="35"/>
      <c r="AA107" s="35"/>
      <c r="AB107" s="35"/>
      <c r="AC107" s="35"/>
      <c r="AD107" s="35"/>
      <c r="AE107" s="46"/>
      <c r="AF107" s="40"/>
      <c r="AG107" s="40"/>
      <c r="AH107" s="40"/>
      <c r="AI107" s="41"/>
      <c r="AJ107" s="25">
        <f t="shared" si="3"/>
        <v>5</v>
      </c>
      <c r="AK107" s="42">
        <f t="shared" si="4"/>
        <v>7.142857143</v>
      </c>
      <c r="AL107" s="27">
        <f t="shared" si="5"/>
        <v>1</v>
      </c>
    </row>
    <row r="108">
      <c r="A108" s="35">
        <v>106.0</v>
      </c>
      <c r="B108" s="104" t="s">
        <v>457</v>
      </c>
      <c r="C108" s="100"/>
      <c r="D108" s="100"/>
      <c r="E108" s="101">
        <v>9.035020271E9</v>
      </c>
      <c r="F108" s="100"/>
      <c r="G108" s="100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8"/>
      <c r="S108" s="108"/>
      <c r="T108" s="108"/>
      <c r="U108" s="109">
        <v>5.0</v>
      </c>
      <c r="V108" s="108"/>
      <c r="W108" s="110"/>
      <c r="X108" s="108"/>
      <c r="Y108" s="35"/>
      <c r="Z108" s="35"/>
      <c r="AA108" s="35"/>
      <c r="AB108" s="35"/>
      <c r="AC108" s="35"/>
      <c r="AD108" s="35"/>
      <c r="AE108" s="46"/>
      <c r="AF108" s="40"/>
      <c r="AG108" s="40"/>
      <c r="AH108" s="40"/>
      <c r="AI108" s="41"/>
      <c r="AJ108" s="25">
        <f t="shared" si="3"/>
        <v>5</v>
      </c>
      <c r="AK108" s="42">
        <f t="shared" si="4"/>
        <v>7.142857143</v>
      </c>
      <c r="AL108" s="27">
        <f t="shared" si="5"/>
        <v>1</v>
      </c>
    </row>
    <row r="109">
      <c r="A109" s="35">
        <v>107.0</v>
      </c>
      <c r="B109" s="105" t="s">
        <v>458</v>
      </c>
      <c r="C109" s="98"/>
      <c r="D109" s="98"/>
      <c r="E109" s="98"/>
      <c r="F109" s="98"/>
      <c r="G109" s="98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8"/>
      <c r="S109" s="108"/>
      <c r="T109" s="108"/>
      <c r="U109" s="109">
        <v>5.0</v>
      </c>
      <c r="V109" s="108"/>
      <c r="W109" s="110"/>
      <c r="X109" s="108"/>
      <c r="Y109" s="35"/>
      <c r="Z109" s="35"/>
      <c r="AA109" s="35"/>
      <c r="AB109" s="35"/>
      <c r="AC109" s="35"/>
      <c r="AD109" s="35"/>
      <c r="AE109" s="46"/>
      <c r="AF109" s="40"/>
      <c r="AG109" s="40"/>
      <c r="AH109" s="40"/>
      <c r="AI109" s="41"/>
      <c r="AJ109" s="25">
        <f t="shared" si="3"/>
        <v>5</v>
      </c>
      <c r="AK109" s="42">
        <f t="shared" si="4"/>
        <v>7.142857143</v>
      </c>
      <c r="AL109" s="27">
        <f t="shared" si="5"/>
        <v>1</v>
      </c>
    </row>
    <row r="110">
      <c r="A110" s="35">
        <v>108.0</v>
      </c>
      <c r="B110" s="104" t="s">
        <v>459</v>
      </c>
      <c r="C110" s="100"/>
      <c r="D110" s="100"/>
      <c r="E110" s="100"/>
      <c r="F110" s="100"/>
      <c r="G110" s="100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8"/>
      <c r="S110" s="108"/>
      <c r="T110" s="108"/>
      <c r="U110" s="111"/>
      <c r="V110" s="112">
        <v>5.0</v>
      </c>
      <c r="W110" s="110"/>
      <c r="X110" s="112">
        <v>5.0</v>
      </c>
      <c r="Y110" s="35">
        <v>5.0</v>
      </c>
      <c r="Z110" s="35"/>
      <c r="AA110" s="35"/>
      <c r="AB110" s="35"/>
      <c r="AC110" s="35">
        <v>5.0</v>
      </c>
      <c r="AD110" s="35"/>
      <c r="AE110" s="46"/>
      <c r="AF110" s="40"/>
      <c r="AG110" s="40"/>
      <c r="AH110" s="40"/>
      <c r="AI110" s="41"/>
      <c r="AJ110" s="25">
        <f t="shared" si="3"/>
        <v>20</v>
      </c>
      <c r="AK110" s="42">
        <f t="shared" si="4"/>
        <v>28.57142857</v>
      </c>
      <c r="AL110" s="27">
        <f t="shared" si="5"/>
        <v>4</v>
      </c>
    </row>
    <row r="111">
      <c r="A111" s="35">
        <v>109.0</v>
      </c>
      <c r="B111" s="106" t="s">
        <v>460</v>
      </c>
      <c r="C111" s="98" t="s">
        <v>461</v>
      </c>
      <c r="D111" s="98" t="s">
        <v>462</v>
      </c>
      <c r="E111" s="99">
        <v>9.989149329E9</v>
      </c>
      <c r="F111" s="99" t="s">
        <v>463</v>
      </c>
      <c r="G111" s="99">
        <v>8.332853623E9</v>
      </c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8"/>
      <c r="S111" s="108"/>
      <c r="T111" s="108"/>
      <c r="U111" s="111"/>
      <c r="V111" s="108"/>
      <c r="W111" s="113">
        <v>10.0</v>
      </c>
      <c r="X111" s="108"/>
      <c r="Y111" s="35"/>
      <c r="Z111" s="35"/>
      <c r="AA111" s="35"/>
      <c r="AB111" s="35"/>
      <c r="AC111" s="35"/>
      <c r="AD111" s="35"/>
      <c r="AE111" s="46"/>
      <c r="AF111" s="40"/>
      <c r="AG111" s="40">
        <v>5.0</v>
      </c>
      <c r="AH111" s="40"/>
      <c r="AI111" s="41"/>
      <c r="AJ111" s="25">
        <f t="shared" si="3"/>
        <v>10</v>
      </c>
      <c r="AK111" s="42">
        <f t="shared" si="4"/>
        <v>14.28571429</v>
      </c>
      <c r="AL111" s="27">
        <f t="shared" si="5"/>
        <v>1</v>
      </c>
    </row>
    <row r="112">
      <c r="A112" s="35">
        <v>110.0</v>
      </c>
      <c r="B112" s="105" t="s">
        <v>464</v>
      </c>
      <c r="C112" s="100" t="s">
        <v>465</v>
      </c>
      <c r="D112" s="100" t="s">
        <v>466</v>
      </c>
      <c r="E112" s="101">
        <v>9.677155256E9</v>
      </c>
      <c r="F112" s="101" t="s">
        <v>467</v>
      </c>
      <c r="G112" s="101">
        <v>9.172994877E9</v>
      </c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8"/>
      <c r="S112" s="108"/>
      <c r="T112" s="108"/>
      <c r="U112" s="111"/>
      <c r="V112" s="108"/>
      <c r="W112" s="110"/>
      <c r="X112" s="112">
        <v>5.0</v>
      </c>
      <c r="Y112" s="35"/>
      <c r="Z112" s="35"/>
      <c r="AA112" s="35"/>
      <c r="AB112" s="35"/>
      <c r="AC112" s="35"/>
      <c r="AD112" s="35"/>
      <c r="AE112" s="46"/>
      <c r="AF112" s="40"/>
      <c r="AG112" s="40"/>
      <c r="AH112" s="40"/>
      <c r="AI112" s="41"/>
      <c r="AJ112" s="25">
        <f t="shared" si="3"/>
        <v>5</v>
      </c>
      <c r="AK112" s="42">
        <f t="shared" si="4"/>
        <v>7.142857143</v>
      </c>
      <c r="AL112" s="27">
        <f t="shared" si="5"/>
        <v>1</v>
      </c>
    </row>
    <row r="113">
      <c r="A113" s="35">
        <v>111.0</v>
      </c>
      <c r="B113" s="104" t="s">
        <v>468</v>
      </c>
      <c r="C113" s="98" t="s">
        <v>469</v>
      </c>
      <c r="D113" s="98" t="s">
        <v>470</v>
      </c>
      <c r="E113" s="99">
        <v>7.710829694E9</v>
      </c>
      <c r="F113" s="99" t="s">
        <v>471</v>
      </c>
      <c r="G113" s="99">
        <v>7.708404566E9</v>
      </c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8"/>
      <c r="S113" s="108"/>
      <c r="T113" s="108"/>
      <c r="U113" s="111"/>
      <c r="V113" s="108"/>
      <c r="W113" s="110"/>
      <c r="X113" s="112">
        <v>5.0</v>
      </c>
      <c r="Y113" s="35"/>
      <c r="Z113" s="35"/>
      <c r="AA113" s="35"/>
      <c r="AB113" s="35">
        <v>5.0</v>
      </c>
      <c r="AC113" s="35"/>
      <c r="AD113" s="35"/>
      <c r="AE113" s="46"/>
      <c r="AF113" s="40"/>
      <c r="AG113" s="40"/>
      <c r="AH113" s="40"/>
      <c r="AI113" s="41"/>
      <c r="AJ113" s="25">
        <f t="shared" si="3"/>
        <v>10</v>
      </c>
      <c r="AK113" s="42">
        <f t="shared" si="4"/>
        <v>14.28571429</v>
      </c>
      <c r="AL113" s="27">
        <f t="shared" si="5"/>
        <v>2</v>
      </c>
    </row>
    <row r="114">
      <c r="A114" s="35">
        <v>112.0</v>
      </c>
      <c r="B114" s="105" t="s">
        <v>472</v>
      </c>
      <c r="C114" s="100" t="s">
        <v>473</v>
      </c>
      <c r="D114" s="100" t="s">
        <v>474</v>
      </c>
      <c r="E114" s="101">
        <v>9.535323686E9</v>
      </c>
      <c r="F114" s="101" t="s">
        <v>475</v>
      </c>
      <c r="G114" s="101">
        <v>9.535323686E9</v>
      </c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8"/>
      <c r="S114" s="108"/>
      <c r="T114" s="108"/>
      <c r="U114" s="111"/>
      <c r="V114" s="108"/>
      <c r="W114" s="110"/>
      <c r="X114" s="112">
        <v>5.0</v>
      </c>
      <c r="Y114" s="35"/>
      <c r="Z114" s="35"/>
      <c r="AA114" s="35"/>
      <c r="AB114" s="35"/>
      <c r="AC114" s="35"/>
      <c r="AD114" s="35"/>
      <c r="AE114" s="46"/>
      <c r="AF114" s="40"/>
      <c r="AG114" s="40"/>
      <c r="AH114" s="40"/>
      <c r="AI114" s="41"/>
      <c r="AJ114" s="25">
        <f t="shared" si="3"/>
        <v>5</v>
      </c>
      <c r="AK114" s="42">
        <f t="shared" si="4"/>
        <v>7.142857143</v>
      </c>
      <c r="AL114" s="27">
        <f t="shared" si="5"/>
        <v>1</v>
      </c>
    </row>
    <row r="115">
      <c r="A115" s="35">
        <v>113.0</v>
      </c>
      <c r="B115" s="106" t="s">
        <v>476</v>
      </c>
      <c r="C115" s="98" t="s">
        <v>477</v>
      </c>
      <c r="D115" s="98" t="s">
        <v>478</v>
      </c>
      <c r="E115" s="114">
        <v>9.036363266E9</v>
      </c>
      <c r="F115" s="98" t="s">
        <v>479</v>
      </c>
      <c r="G115" s="114">
        <v>9.448216573E9</v>
      </c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8"/>
      <c r="S115" s="108"/>
      <c r="T115" s="108"/>
      <c r="U115" s="111"/>
      <c r="V115" s="108"/>
      <c r="W115" s="110"/>
      <c r="X115" s="108"/>
      <c r="Y115" s="112">
        <v>5.0</v>
      </c>
      <c r="Z115" s="108"/>
      <c r="AA115" s="112"/>
      <c r="AB115" s="35"/>
      <c r="AC115" s="35"/>
      <c r="AD115" s="35"/>
      <c r="AE115" s="46"/>
      <c r="AF115" s="40"/>
      <c r="AG115" s="40"/>
      <c r="AH115" s="40"/>
      <c r="AI115" s="41"/>
      <c r="AJ115" s="25">
        <f t="shared" si="3"/>
        <v>5</v>
      </c>
      <c r="AK115" s="42">
        <f t="shared" si="4"/>
        <v>7.142857143</v>
      </c>
      <c r="AL115" s="27">
        <f t="shared" si="5"/>
        <v>1</v>
      </c>
    </row>
    <row r="116">
      <c r="A116" s="35">
        <v>114.0</v>
      </c>
      <c r="B116" s="106" t="s">
        <v>480</v>
      </c>
      <c r="C116" s="100" t="s">
        <v>481</v>
      </c>
      <c r="D116" s="100" t="s">
        <v>482</v>
      </c>
      <c r="E116" s="101">
        <v>8.762656833E9</v>
      </c>
      <c r="F116" s="101" t="s">
        <v>483</v>
      </c>
      <c r="G116" s="101">
        <v>9.448360129E9</v>
      </c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8"/>
      <c r="S116" s="108"/>
      <c r="T116" s="108"/>
      <c r="U116" s="111"/>
      <c r="V116" s="108"/>
      <c r="W116" s="110"/>
      <c r="X116" s="108"/>
      <c r="Y116" s="112">
        <v>5.0</v>
      </c>
      <c r="Z116" s="108"/>
      <c r="AA116" s="112">
        <v>5.0</v>
      </c>
      <c r="AB116" s="35"/>
      <c r="AC116" s="35"/>
      <c r="AD116" s="35"/>
      <c r="AE116" s="46"/>
      <c r="AF116" s="40"/>
      <c r="AG116" s="40"/>
      <c r="AH116" s="40"/>
      <c r="AI116" s="41"/>
      <c r="AJ116" s="25">
        <f t="shared" si="3"/>
        <v>10</v>
      </c>
      <c r="AK116" s="42">
        <f t="shared" si="4"/>
        <v>14.28571429</v>
      </c>
      <c r="AL116" s="27">
        <f t="shared" si="5"/>
        <v>2</v>
      </c>
    </row>
    <row r="117">
      <c r="A117" s="35">
        <v>115.0</v>
      </c>
      <c r="B117" s="106" t="s">
        <v>484</v>
      </c>
      <c r="C117" s="98" t="s">
        <v>485</v>
      </c>
      <c r="D117" s="98" t="s">
        <v>486</v>
      </c>
      <c r="E117" s="99">
        <v>9.449077026E9</v>
      </c>
      <c r="F117" s="99" t="s">
        <v>487</v>
      </c>
      <c r="G117" s="99">
        <v>9.88016136E9</v>
      </c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8"/>
      <c r="S117" s="108"/>
      <c r="T117" s="108"/>
      <c r="U117" s="111"/>
      <c r="V117" s="108"/>
      <c r="W117" s="110"/>
      <c r="X117" s="108"/>
      <c r="Y117" s="112">
        <v>5.0</v>
      </c>
      <c r="Z117" s="108"/>
      <c r="AA117" s="108"/>
      <c r="AB117" s="35"/>
      <c r="AC117" s="35"/>
      <c r="AD117" s="35"/>
      <c r="AE117" s="46"/>
      <c r="AF117" s="40"/>
      <c r="AG117" s="40"/>
      <c r="AH117" s="40"/>
      <c r="AI117" s="41"/>
      <c r="AJ117" s="25">
        <f t="shared" si="3"/>
        <v>5</v>
      </c>
      <c r="AK117" s="42">
        <f t="shared" si="4"/>
        <v>7.142857143</v>
      </c>
      <c r="AL117" s="27">
        <f t="shared" si="5"/>
        <v>1</v>
      </c>
    </row>
    <row r="118">
      <c r="A118" s="35">
        <v>116.0</v>
      </c>
      <c r="B118" s="106" t="s">
        <v>488</v>
      </c>
      <c r="C118" s="100" t="s">
        <v>489</v>
      </c>
      <c r="D118" s="100" t="s">
        <v>490</v>
      </c>
      <c r="E118" s="101">
        <v>9.845751199E9</v>
      </c>
      <c r="F118" s="101" t="s">
        <v>491</v>
      </c>
      <c r="G118" s="101">
        <v>9.880306829E9</v>
      </c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8"/>
      <c r="S118" s="108"/>
      <c r="T118" s="108"/>
      <c r="U118" s="111"/>
      <c r="V118" s="108"/>
      <c r="W118" s="110"/>
      <c r="X118" s="108"/>
      <c r="Y118" s="112">
        <v>5.0</v>
      </c>
      <c r="Z118" s="108"/>
      <c r="AA118" s="108"/>
      <c r="AB118" s="35"/>
      <c r="AC118" s="35"/>
      <c r="AD118" s="35"/>
      <c r="AE118" s="46"/>
      <c r="AF118" s="40"/>
      <c r="AG118" s="40"/>
      <c r="AH118" s="40"/>
      <c r="AI118" s="41"/>
      <c r="AJ118" s="25">
        <f t="shared" si="3"/>
        <v>5</v>
      </c>
      <c r="AK118" s="42">
        <f t="shared" si="4"/>
        <v>7.142857143</v>
      </c>
      <c r="AL118" s="27">
        <f t="shared" si="5"/>
        <v>1</v>
      </c>
    </row>
    <row r="119">
      <c r="A119" s="35">
        <v>117.0</v>
      </c>
      <c r="B119" s="106" t="s">
        <v>492</v>
      </c>
      <c r="C119" s="98" t="s">
        <v>493</v>
      </c>
      <c r="D119" s="98" t="s">
        <v>494</v>
      </c>
      <c r="E119" s="99">
        <v>8.76620869E9</v>
      </c>
      <c r="F119" s="99" t="s">
        <v>495</v>
      </c>
      <c r="G119" s="99">
        <v>9.871467202E9</v>
      </c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8"/>
      <c r="S119" s="108"/>
      <c r="T119" s="108"/>
      <c r="U119" s="111"/>
      <c r="V119" s="108"/>
      <c r="W119" s="110"/>
      <c r="X119" s="108"/>
      <c r="Y119" s="108"/>
      <c r="Z119" s="112">
        <v>5.0</v>
      </c>
      <c r="AA119" s="108"/>
      <c r="AB119" s="35"/>
      <c r="AC119" s="35"/>
      <c r="AD119" s="35"/>
      <c r="AE119" s="46"/>
      <c r="AF119" s="40"/>
      <c r="AG119" s="40"/>
      <c r="AH119" s="40"/>
      <c r="AI119" s="41"/>
      <c r="AJ119" s="25">
        <f t="shared" si="3"/>
        <v>5</v>
      </c>
      <c r="AK119" s="42">
        <f t="shared" si="4"/>
        <v>7.142857143</v>
      </c>
      <c r="AL119" s="27">
        <f t="shared" si="5"/>
        <v>1</v>
      </c>
    </row>
    <row r="120">
      <c r="A120" s="35">
        <v>118.0</v>
      </c>
      <c r="B120" s="106" t="s">
        <v>496</v>
      </c>
      <c r="C120" s="100" t="s">
        <v>497</v>
      </c>
      <c r="D120" s="100" t="s">
        <v>498</v>
      </c>
      <c r="E120" s="101">
        <v>9.873153944E9</v>
      </c>
      <c r="F120" s="101" t="s">
        <v>499</v>
      </c>
      <c r="G120" s="101">
        <v>9.953244776E9</v>
      </c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8"/>
      <c r="S120" s="108"/>
      <c r="T120" s="108"/>
      <c r="U120" s="111"/>
      <c r="V120" s="108"/>
      <c r="W120" s="110"/>
      <c r="X120" s="108"/>
      <c r="Y120" s="108"/>
      <c r="Z120" s="112">
        <v>5.0</v>
      </c>
      <c r="AA120" s="108"/>
      <c r="AB120" s="35"/>
      <c r="AC120" s="35"/>
      <c r="AD120" s="35"/>
      <c r="AE120" s="46"/>
      <c r="AF120" s="40"/>
      <c r="AG120" s="40"/>
      <c r="AH120" s="40"/>
      <c r="AI120" s="41"/>
      <c r="AJ120" s="25">
        <f t="shared" si="3"/>
        <v>5</v>
      </c>
      <c r="AK120" s="42">
        <f t="shared" si="4"/>
        <v>7.142857143</v>
      </c>
      <c r="AL120" s="27">
        <f t="shared" si="5"/>
        <v>1</v>
      </c>
    </row>
    <row r="121">
      <c r="A121" s="35">
        <v>119.0</v>
      </c>
      <c r="B121" s="106" t="s">
        <v>500</v>
      </c>
      <c r="C121" s="98" t="s">
        <v>501</v>
      </c>
      <c r="D121" s="98" t="s">
        <v>502</v>
      </c>
      <c r="E121" s="115" t="s">
        <v>503</v>
      </c>
      <c r="F121" s="99" t="s">
        <v>504</v>
      </c>
      <c r="G121" s="99">
        <v>9.824661886E9</v>
      </c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8"/>
      <c r="S121" s="108"/>
      <c r="T121" s="108"/>
      <c r="U121" s="111"/>
      <c r="V121" s="108"/>
      <c r="W121" s="110"/>
      <c r="X121" s="108"/>
      <c r="Y121" s="108"/>
      <c r="Z121" s="112">
        <v>5.0</v>
      </c>
      <c r="AA121" s="108"/>
      <c r="AB121" s="35"/>
      <c r="AC121" s="35"/>
      <c r="AD121" s="35"/>
      <c r="AE121" s="46"/>
      <c r="AF121" s="40"/>
      <c r="AG121" s="40">
        <v>5.0</v>
      </c>
      <c r="AH121" s="40"/>
      <c r="AI121" s="41"/>
      <c r="AJ121" s="25">
        <f t="shared" si="3"/>
        <v>5</v>
      </c>
      <c r="AK121" s="42">
        <f t="shared" si="4"/>
        <v>7.142857143</v>
      </c>
      <c r="AL121" s="27">
        <f t="shared" si="5"/>
        <v>1</v>
      </c>
    </row>
    <row r="122">
      <c r="A122" s="35">
        <v>120.0</v>
      </c>
      <c r="B122" s="106" t="s">
        <v>505</v>
      </c>
      <c r="C122" s="100" t="s">
        <v>506</v>
      </c>
      <c r="D122" s="100" t="s">
        <v>507</v>
      </c>
      <c r="E122" s="101">
        <v>9.901700209E9</v>
      </c>
      <c r="F122" s="101" t="s">
        <v>508</v>
      </c>
      <c r="G122" s="101">
        <v>9.945632953E9</v>
      </c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8"/>
      <c r="S122" s="108"/>
      <c r="T122" s="108"/>
      <c r="U122" s="111"/>
      <c r="V122" s="108"/>
      <c r="W122" s="110"/>
      <c r="X122" s="108"/>
      <c r="Y122" s="108"/>
      <c r="Z122" s="108"/>
      <c r="AA122" s="112">
        <v>5.0</v>
      </c>
      <c r="AB122" s="35"/>
      <c r="AC122" s="35"/>
      <c r="AD122" s="35"/>
      <c r="AE122" s="46"/>
      <c r="AF122" s="40"/>
      <c r="AG122" s="40"/>
      <c r="AH122" s="40"/>
      <c r="AI122" s="41"/>
      <c r="AJ122" s="25">
        <f t="shared" si="3"/>
        <v>5</v>
      </c>
      <c r="AK122" s="42">
        <f t="shared" si="4"/>
        <v>7.142857143</v>
      </c>
      <c r="AL122" s="27">
        <f t="shared" si="5"/>
        <v>1</v>
      </c>
    </row>
    <row r="123">
      <c r="A123" s="35">
        <v>121.0</v>
      </c>
      <c r="B123" s="106" t="s">
        <v>509</v>
      </c>
      <c r="C123" s="98" t="s">
        <v>510</v>
      </c>
      <c r="D123" s="98" t="s">
        <v>511</v>
      </c>
      <c r="E123" s="99">
        <v>9.886528672E9</v>
      </c>
      <c r="F123" s="99" t="s">
        <v>512</v>
      </c>
      <c r="G123" s="99">
        <v>9.88687028E9</v>
      </c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8"/>
      <c r="S123" s="108"/>
      <c r="T123" s="108"/>
      <c r="U123" s="111"/>
      <c r="V123" s="108"/>
      <c r="W123" s="110"/>
      <c r="X123" s="108"/>
      <c r="Y123" s="108"/>
      <c r="Z123" s="108"/>
      <c r="AA123" s="112">
        <v>5.0</v>
      </c>
      <c r="AB123" s="35"/>
      <c r="AC123" s="35"/>
      <c r="AD123" s="35"/>
      <c r="AE123" s="46"/>
      <c r="AF123" s="40"/>
      <c r="AG123" s="40"/>
      <c r="AH123" s="40"/>
      <c r="AI123" s="41"/>
      <c r="AJ123" s="25">
        <f t="shared" si="3"/>
        <v>5</v>
      </c>
      <c r="AK123" s="42">
        <f t="shared" si="4"/>
        <v>7.142857143</v>
      </c>
      <c r="AL123" s="27">
        <f t="shared" si="5"/>
        <v>1</v>
      </c>
    </row>
    <row r="124">
      <c r="A124" s="35">
        <v>122.0</v>
      </c>
      <c r="B124" s="106" t="s">
        <v>513</v>
      </c>
      <c r="C124" s="100" t="s">
        <v>514</v>
      </c>
      <c r="D124" s="100" t="s">
        <v>515</v>
      </c>
      <c r="E124" s="101">
        <v>9.538322211E9</v>
      </c>
      <c r="F124" s="101" t="s">
        <v>516</v>
      </c>
      <c r="G124" s="101">
        <v>8.884553805E9</v>
      </c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8"/>
      <c r="S124" s="108"/>
      <c r="T124" s="108"/>
      <c r="U124" s="111"/>
      <c r="V124" s="108"/>
      <c r="W124" s="110"/>
      <c r="X124" s="108"/>
      <c r="Y124" s="108"/>
      <c r="Z124" s="108"/>
      <c r="AA124" s="112">
        <v>5.0</v>
      </c>
      <c r="AB124" s="35">
        <v>5.0</v>
      </c>
      <c r="AC124" s="35">
        <v>5.0</v>
      </c>
      <c r="AD124" s="35"/>
      <c r="AE124" s="46"/>
      <c r="AF124" s="40"/>
      <c r="AG124" s="40">
        <v>5.0</v>
      </c>
      <c r="AH124" s="40">
        <v>5.0</v>
      </c>
      <c r="AI124" s="41"/>
      <c r="AJ124" s="25">
        <f t="shared" si="3"/>
        <v>15</v>
      </c>
      <c r="AK124" s="42">
        <f t="shared" si="4"/>
        <v>21.42857143</v>
      </c>
      <c r="AL124" s="27">
        <f t="shared" si="5"/>
        <v>3</v>
      </c>
    </row>
    <row r="125">
      <c r="A125" s="35">
        <v>123.0</v>
      </c>
      <c r="B125" s="106" t="s">
        <v>517</v>
      </c>
      <c r="C125" s="98" t="s">
        <v>518</v>
      </c>
      <c r="D125" s="98" t="s">
        <v>519</v>
      </c>
      <c r="E125" s="99">
        <v>9.741411601E9</v>
      </c>
      <c r="F125" s="99" t="s">
        <v>520</v>
      </c>
      <c r="G125" s="99">
        <v>9.901700209E9</v>
      </c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8"/>
      <c r="S125" s="108"/>
      <c r="T125" s="108"/>
      <c r="U125" s="111"/>
      <c r="V125" s="108"/>
      <c r="W125" s="110"/>
      <c r="X125" s="108"/>
      <c r="Y125" s="108"/>
      <c r="Z125" s="108"/>
      <c r="AA125" s="112">
        <v>5.0</v>
      </c>
      <c r="AB125" s="35"/>
      <c r="AC125" s="35"/>
      <c r="AD125" s="35"/>
      <c r="AE125" s="46"/>
      <c r="AF125" s="40"/>
      <c r="AG125" s="40"/>
      <c r="AH125" s="40"/>
      <c r="AI125" s="41"/>
      <c r="AJ125" s="25">
        <f t="shared" si="3"/>
        <v>5</v>
      </c>
      <c r="AK125" s="42">
        <f t="shared" si="4"/>
        <v>7.142857143</v>
      </c>
      <c r="AL125" s="27">
        <f t="shared" si="5"/>
        <v>1</v>
      </c>
    </row>
    <row r="126">
      <c r="A126" s="35">
        <v>124.0</v>
      </c>
      <c r="B126" s="106" t="s">
        <v>521</v>
      </c>
      <c r="C126" s="100" t="s">
        <v>522</v>
      </c>
      <c r="D126" s="100" t="s">
        <v>523</v>
      </c>
      <c r="E126" s="101">
        <v>9.611586472E9</v>
      </c>
      <c r="F126" s="101" t="s">
        <v>509</v>
      </c>
      <c r="G126" s="101">
        <v>9.886528672E9</v>
      </c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8"/>
      <c r="S126" s="108"/>
      <c r="T126" s="108"/>
      <c r="U126" s="111"/>
      <c r="V126" s="108"/>
      <c r="W126" s="110"/>
      <c r="X126" s="108"/>
      <c r="Y126" s="108"/>
      <c r="Z126" s="108"/>
      <c r="AA126" s="112">
        <v>5.0</v>
      </c>
      <c r="AB126" s="35"/>
      <c r="AC126" s="35"/>
      <c r="AD126" s="35"/>
      <c r="AE126" s="46"/>
      <c r="AF126" s="40"/>
      <c r="AG126" s="40"/>
      <c r="AH126" s="40"/>
      <c r="AI126" s="41"/>
      <c r="AJ126" s="25">
        <f t="shared" si="3"/>
        <v>5</v>
      </c>
      <c r="AK126" s="42">
        <f t="shared" si="4"/>
        <v>7.142857143</v>
      </c>
      <c r="AL126" s="27">
        <f t="shared" si="5"/>
        <v>1</v>
      </c>
    </row>
    <row r="127">
      <c r="A127" s="35">
        <v>125.0</v>
      </c>
      <c r="B127" s="106" t="s">
        <v>524</v>
      </c>
      <c r="C127" s="98" t="s">
        <v>525</v>
      </c>
      <c r="D127" s="98" t="s">
        <v>526</v>
      </c>
      <c r="E127" s="99">
        <v>8.884553805E9</v>
      </c>
      <c r="F127" s="99" t="s">
        <v>527</v>
      </c>
      <c r="G127" s="99">
        <v>9.538322211E9</v>
      </c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8"/>
      <c r="S127" s="108"/>
      <c r="T127" s="108"/>
      <c r="U127" s="111"/>
      <c r="V127" s="108"/>
      <c r="W127" s="110"/>
      <c r="X127" s="108"/>
      <c r="Y127" s="108"/>
      <c r="Z127" s="108"/>
      <c r="AA127" s="112"/>
      <c r="AB127" s="35">
        <v>5.0</v>
      </c>
      <c r="AC127" s="35"/>
      <c r="AD127" s="35"/>
      <c r="AE127" s="46"/>
      <c r="AF127" s="40"/>
      <c r="AG127" s="40"/>
      <c r="AH127" s="40"/>
      <c r="AI127" s="41"/>
      <c r="AJ127" s="25">
        <f t="shared" si="3"/>
        <v>5</v>
      </c>
      <c r="AK127" s="42">
        <f t="shared" si="4"/>
        <v>7.142857143</v>
      </c>
      <c r="AL127" s="27">
        <f t="shared" si="5"/>
        <v>1</v>
      </c>
    </row>
    <row r="128">
      <c r="A128" s="112">
        <v>126.0</v>
      </c>
      <c r="B128" s="106" t="s">
        <v>528</v>
      </c>
      <c r="C128" s="100" t="s">
        <v>529</v>
      </c>
      <c r="D128" s="100" t="s">
        <v>530</v>
      </c>
      <c r="E128" s="101">
        <v>7.406227555E9</v>
      </c>
      <c r="F128" s="101" t="s">
        <v>531</v>
      </c>
      <c r="G128" s="101">
        <v>7.899223221E9</v>
      </c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8"/>
      <c r="S128" s="108"/>
      <c r="T128" s="108"/>
      <c r="U128" s="111"/>
      <c r="V128" s="108"/>
      <c r="W128" s="110"/>
      <c r="X128" s="108"/>
      <c r="Y128" s="108"/>
      <c r="Z128" s="108"/>
      <c r="AA128" s="108"/>
      <c r="AB128" s="35">
        <v>5.0</v>
      </c>
      <c r="AC128" s="35"/>
      <c r="AD128" s="35"/>
      <c r="AE128" s="46"/>
      <c r="AF128" s="40"/>
      <c r="AG128" s="40"/>
      <c r="AH128" s="40"/>
      <c r="AI128" s="41"/>
      <c r="AJ128" s="25">
        <f t="shared" si="3"/>
        <v>5</v>
      </c>
      <c r="AK128" s="42">
        <f t="shared" si="4"/>
        <v>7.142857143</v>
      </c>
      <c r="AL128" s="27">
        <f t="shared" si="5"/>
        <v>1</v>
      </c>
    </row>
    <row r="129">
      <c r="A129" s="112">
        <v>127.0</v>
      </c>
      <c r="B129" s="106" t="s">
        <v>532</v>
      </c>
      <c r="C129" s="98" t="s">
        <v>533</v>
      </c>
      <c r="D129" s="98" t="s">
        <v>534</v>
      </c>
      <c r="E129" s="99">
        <v>7.807160143E9</v>
      </c>
      <c r="F129" s="99" t="s">
        <v>535</v>
      </c>
      <c r="G129" s="99">
        <v>9.936293281E9</v>
      </c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8"/>
      <c r="S129" s="108"/>
      <c r="T129" s="108"/>
      <c r="U129" s="111"/>
      <c r="V129" s="108"/>
      <c r="W129" s="110"/>
      <c r="X129" s="108"/>
      <c r="Y129" s="108"/>
      <c r="Z129" s="108"/>
      <c r="AA129" s="108"/>
      <c r="AB129" s="35">
        <v>5.0</v>
      </c>
      <c r="AC129" s="35"/>
      <c r="AD129" s="35"/>
      <c r="AE129" s="46"/>
      <c r="AF129" s="40"/>
      <c r="AG129" s="40"/>
      <c r="AH129" s="40"/>
      <c r="AI129" s="41"/>
      <c r="AJ129" s="25">
        <f t="shared" si="3"/>
        <v>5</v>
      </c>
      <c r="AK129" s="42">
        <f t="shared" si="4"/>
        <v>7.142857143</v>
      </c>
      <c r="AL129" s="27">
        <f t="shared" si="5"/>
        <v>1</v>
      </c>
    </row>
    <row r="130">
      <c r="A130" s="112">
        <v>128.0</v>
      </c>
      <c r="B130" s="106" t="s">
        <v>536</v>
      </c>
      <c r="C130" s="100" t="s">
        <v>537</v>
      </c>
      <c r="D130" s="100" t="s">
        <v>538</v>
      </c>
      <c r="E130" s="101">
        <v>6.360735107E9</v>
      </c>
      <c r="F130" s="101">
        <v>9.986360984E9</v>
      </c>
      <c r="G130" s="101">
        <v>9.986360984E9</v>
      </c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8"/>
      <c r="S130" s="108"/>
      <c r="T130" s="108"/>
      <c r="U130" s="111"/>
      <c r="V130" s="108"/>
      <c r="W130" s="110"/>
      <c r="X130" s="108"/>
      <c r="Y130" s="108"/>
      <c r="Z130" s="108"/>
      <c r="AA130" s="108"/>
      <c r="AB130" s="35">
        <v>5.0</v>
      </c>
      <c r="AC130" s="35"/>
      <c r="AD130" s="35"/>
      <c r="AE130" s="46"/>
      <c r="AF130" s="40"/>
      <c r="AG130" s="40"/>
      <c r="AH130" s="40"/>
      <c r="AI130" s="41"/>
      <c r="AJ130" s="25">
        <f t="shared" si="3"/>
        <v>5</v>
      </c>
      <c r="AK130" s="42">
        <f t="shared" si="4"/>
        <v>7.142857143</v>
      </c>
      <c r="AL130" s="27">
        <f t="shared" si="5"/>
        <v>1</v>
      </c>
    </row>
    <row r="131">
      <c r="A131" s="112">
        <v>129.0</v>
      </c>
      <c r="B131" s="106" t="s">
        <v>539</v>
      </c>
      <c r="C131" s="98" t="s">
        <v>540</v>
      </c>
      <c r="D131" s="98" t="s">
        <v>541</v>
      </c>
      <c r="E131" s="99">
        <v>9.845469496E9</v>
      </c>
      <c r="F131" s="99" t="s">
        <v>542</v>
      </c>
      <c r="G131" s="99">
        <v>9.632544479E9</v>
      </c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8"/>
      <c r="S131" s="108"/>
      <c r="T131" s="108"/>
      <c r="U131" s="111"/>
      <c r="V131" s="108"/>
      <c r="W131" s="110"/>
      <c r="X131" s="108"/>
      <c r="Y131" s="108"/>
      <c r="Z131" s="108"/>
      <c r="AA131" s="108"/>
      <c r="AB131" s="35"/>
      <c r="AC131" s="35">
        <v>5.0</v>
      </c>
      <c r="AD131" s="35"/>
      <c r="AE131" s="46"/>
      <c r="AF131" s="40"/>
      <c r="AG131" s="40"/>
      <c r="AH131" s="40"/>
      <c r="AI131" s="41"/>
      <c r="AJ131" s="25">
        <f t="shared" si="3"/>
        <v>5</v>
      </c>
      <c r="AK131" s="42">
        <f t="shared" si="4"/>
        <v>7.142857143</v>
      </c>
      <c r="AL131" s="27">
        <f t="shared" si="5"/>
        <v>1</v>
      </c>
    </row>
    <row r="132">
      <c r="A132" s="112">
        <v>130.0</v>
      </c>
      <c r="B132" s="106" t="s">
        <v>543</v>
      </c>
      <c r="C132" s="100" t="s">
        <v>544</v>
      </c>
      <c r="D132" s="100" t="s">
        <v>545</v>
      </c>
      <c r="E132" s="101">
        <v>9.636548103E9</v>
      </c>
      <c r="F132" s="101" t="s">
        <v>546</v>
      </c>
      <c r="G132" s="101">
        <v>8.217587877E9</v>
      </c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8"/>
      <c r="S132" s="108"/>
      <c r="T132" s="108"/>
      <c r="U132" s="111"/>
      <c r="V132" s="108"/>
      <c r="W132" s="110"/>
      <c r="X132" s="108"/>
      <c r="Y132" s="108"/>
      <c r="Z132" s="108"/>
      <c r="AA132" s="108"/>
      <c r="AB132" s="35"/>
      <c r="AC132" s="35"/>
      <c r="AD132" s="35"/>
      <c r="AE132" s="46">
        <v>5.0</v>
      </c>
      <c r="AF132" s="40"/>
      <c r="AG132" s="40"/>
      <c r="AH132" s="40"/>
      <c r="AI132" s="41"/>
      <c r="AJ132" s="25">
        <f t="shared" si="3"/>
        <v>5</v>
      </c>
      <c r="AK132" s="42">
        <f t="shared" si="4"/>
        <v>7.142857143</v>
      </c>
      <c r="AL132" s="27">
        <f t="shared" si="5"/>
        <v>1</v>
      </c>
    </row>
    <row r="133">
      <c r="A133" s="112">
        <v>131.0</v>
      </c>
      <c r="B133" s="106" t="s">
        <v>547</v>
      </c>
      <c r="C133" s="98" t="s">
        <v>548</v>
      </c>
      <c r="D133" s="98" t="s">
        <v>549</v>
      </c>
      <c r="E133" s="99">
        <v>6.002670084E9</v>
      </c>
      <c r="F133" s="99" t="s">
        <v>550</v>
      </c>
      <c r="G133" s="99">
        <v>9.678715056E9</v>
      </c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8"/>
      <c r="S133" s="108"/>
      <c r="T133" s="108"/>
      <c r="U133" s="111"/>
      <c r="V133" s="108"/>
      <c r="W133" s="110"/>
      <c r="X133" s="108"/>
      <c r="Y133" s="108"/>
      <c r="Z133" s="108"/>
      <c r="AA133" s="108"/>
      <c r="AB133" s="35"/>
      <c r="AC133" s="35"/>
      <c r="AD133" s="35"/>
      <c r="AE133" s="46">
        <v>5.0</v>
      </c>
      <c r="AF133" s="40"/>
      <c r="AG133" s="40"/>
      <c r="AH133" s="40">
        <v>5.0</v>
      </c>
      <c r="AI133" s="41"/>
      <c r="AJ133" s="25">
        <f t="shared" si="3"/>
        <v>5</v>
      </c>
      <c r="AK133" s="42">
        <f t="shared" si="4"/>
        <v>7.142857143</v>
      </c>
      <c r="AL133" s="27">
        <f t="shared" si="5"/>
        <v>1</v>
      </c>
    </row>
    <row r="134">
      <c r="A134" s="112">
        <v>132.0</v>
      </c>
      <c r="B134" s="106" t="s">
        <v>551</v>
      </c>
      <c r="C134" s="100" t="s">
        <v>552</v>
      </c>
      <c r="D134" s="100" t="s">
        <v>553</v>
      </c>
      <c r="E134" s="101">
        <v>9.68699231E9</v>
      </c>
      <c r="F134" s="101" t="s">
        <v>554</v>
      </c>
      <c r="G134" s="101">
        <v>9.902244322E9</v>
      </c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8"/>
      <c r="S134" s="108"/>
      <c r="T134" s="108"/>
      <c r="U134" s="111"/>
      <c r="V134" s="108"/>
      <c r="W134" s="110"/>
      <c r="X134" s="108"/>
      <c r="Y134" s="108"/>
      <c r="Z134" s="108"/>
      <c r="AA134" s="108"/>
      <c r="AB134" s="35"/>
      <c r="AC134" s="35"/>
      <c r="AD134" s="35"/>
      <c r="AE134" s="46">
        <v>5.0</v>
      </c>
      <c r="AF134" s="40">
        <v>5.0</v>
      </c>
      <c r="AG134" s="40">
        <v>5.0</v>
      </c>
      <c r="AH134" s="40"/>
      <c r="AI134" s="41"/>
      <c r="AJ134" s="25">
        <f t="shared" si="3"/>
        <v>5</v>
      </c>
      <c r="AK134" s="42">
        <f t="shared" si="4"/>
        <v>7.142857143</v>
      </c>
      <c r="AL134" s="27">
        <f t="shared" si="5"/>
        <v>1</v>
      </c>
    </row>
    <row r="135">
      <c r="A135" s="112">
        <v>133.0</v>
      </c>
      <c r="B135" s="104" t="s">
        <v>555</v>
      </c>
      <c r="C135" s="98" t="s">
        <v>556</v>
      </c>
      <c r="D135" s="98" t="s">
        <v>557</v>
      </c>
      <c r="E135" s="99">
        <v>9.880414989E9</v>
      </c>
      <c r="F135" s="99" t="s">
        <v>558</v>
      </c>
      <c r="G135" s="99">
        <v>9.620932785E9</v>
      </c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8"/>
      <c r="S135" s="108"/>
      <c r="T135" s="108"/>
      <c r="U135" s="111"/>
      <c r="V135" s="108"/>
      <c r="W135" s="110"/>
      <c r="X135" s="108"/>
      <c r="Y135" s="108"/>
      <c r="Z135" s="108"/>
      <c r="AA135" s="108"/>
      <c r="AB135" s="35"/>
      <c r="AC135" s="35"/>
      <c r="AD135" s="35"/>
      <c r="AE135" s="46"/>
      <c r="AF135" s="40">
        <v>5.0</v>
      </c>
      <c r="AG135" s="40"/>
      <c r="AH135" s="40"/>
      <c r="AI135" s="41"/>
      <c r="AJ135" s="25">
        <f t="shared" si="3"/>
        <v>0</v>
      </c>
      <c r="AK135" s="42">
        <f t="shared" si="4"/>
        <v>0</v>
      </c>
      <c r="AL135" s="27">
        <f t="shared" si="5"/>
        <v>0</v>
      </c>
    </row>
    <row r="136">
      <c r="A136" s="112">
        <v>134.0</v>
      </c>
      <c r="B136" s="105" t="s">
        <v>559</v>
      </c>
      <c r="C136" s="100" t="s">
        <v>560</v>
      </c>
      <c r="D136" s="100"/>
      <c r="E136" s="101">
        <v>9.845090137E9</v>
      </c>
      <c r="F136" s="101" t="s">
        <v>561</v>
      </c>
      <c r="G136" s="101">
        <v>9.164856213E9</v>
      </c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8"/>
      <c r="S136" s="108"/>
      <c r="T136" s="108"/>
      <c r="U136" s="111"/>
      <c r="V136" s="108"/>
      <c r="W136" s="110"/>
      <c r="X136" s="108"/>
      <c r="Y136" s="108"/>
      <c r="Z136" s="108"/>
      <c r="AA136" s="108"/>
      <c r="AB136" s="35"/>
      <c r="AC136" s="35"/>
      <c r="AD136" s="35"/>
      <c r="AE136" s="46"/>
      <c r="AF136" s="40">
        <v>5.0</v>
      </c>
      <c r="AG136" s="40"/>
      <c r="AH136" s="40"/>
      <c r="AI136" s="41"/>
      <c r="AJ136" s="25">
        <f t="shared" si="3"/>
        <v>0</v>
      </c>
      <c r="AK136" s="42">
        <f t="shared" si="4"/>
        <v>0</v>
      </c>
      <c r="AL136" s="27">
        <f t="shared" si="5"/>
        <v>0</v>
      </c>
    </row>
    <row r="137">
      <c r="A137" s="112">
        <v>135.0</v>
      </c>
      <c r="B137" s="116" t="s">
        <v>562</v>
      </c>
      <c r="C137" s="90" t="s">
        <v>162</v>
      </c>
      <c r="D137" s="90"/>
      <c r="E137" s="99">
        <v>9.538322211E9</v>
      </c>
      <c r="F137" s="117" t="s">
        <v>563</v>
      </c>
      <c r="G137" s="118">
        <v>9.945311733E9</v>
      </c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8"/>
      <c r="S137" s="108"/>
      <c r="T137" s="108"/>
      <c r="U137" s="111"/>
      <c r="V137" s="108"/>
      <c r="W137" s="110"/>
      <c r="X137" s="108"/>
      <c r="Y137" s="108"/>
      <c r="Z137" s="108"/>
      <c r="AA137" s="108"/>
      <c r="AB137" s="35"/>
      <c r="AC137" s="35"/>
      <c r="AD137" s="35"/>
      <c r="AE137" s="46"/>
      <c r="AF137" s="40">
        <v>5.0</v>
      </c>
      <c r="AG137" s="40"/>
      <c r="AH137" s="40"/>
      <c r="AI137" s="41"/>
      <c r="AJ137" s="25">
        <f t="shared" si="3"/>
        <v>0</v>
      </c>
      <c r="AK137" s="42">
        <f t="shared" si="4"/>
        <v>0</v>
      </c>
      <c r="AL137" s="27">
        <f t="shared" si="5"/>
        <v>0</v>
      </c>
    </row>
    <row r="138">
      <c r="A138" s="112">
        <v>136.0</v>
      </c>
      <c r="B138" s="104" t="s">
        <v>524</v>
      </c>
      <c r="C138" s="98" t="s">
        <v>564</v>
      </c>
      <c r="D138" s="98" t="s">
        <v>526</v>
      </c>
      <c r="E138" s="99">
        <v>8.884553805E9</v>
      </c>
      <c r="F138" s="99" t="s">
        <v>565</v>
      </c>
      <c r="G138" s="99">
        <v>9.538322211E9</v>
      </c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8"/>
      <c r="S138" s="108"/>
      <c r="T138" s="108"/>
      <c r="U138" s="111"/>
      <c r="V138" s="108"/>
      <c r="W138" s="110"/>
      <c r="X138" s="108"/>
      <c r="Y138" s="108"/>
      <c r="Z138" s="108"/>
      <c r="AA138" s="108"/>
      <c r="AB138" s="35"/>
      <c r="AC138" s="35"/>
      <c r="AD138" s="35"/>
      <c r="AE138" s="46"/>
      <c r="AF138" s="40"/>
      <c r="AG138" s="40">
        <v>5.0</v>
      </c>
      <c r="AH138" s="40"/>
      <c r="AI138" s="41"/>
      <c r="AJ138" s="25"/>
      <c r="AK138" s="42"/>
      <c r="AL138" s="27"/>
    </row>
    <row r="139">
      <c r="A139" s="112">
        <v>137.0</v>
      </c>
      <c r="B139" s="116" t="s">
        <v>566</v>
      </c>
      <c r="C139" s="100" t="s">
        <v>567</v>
      </c>
      <c r="D139" s="100" t="s">
        <v>568</v>
      </c>
      <c r="E139" s="101">
        <v>9.886479088E9</v>
      </c>
      <c r="F139" s="101" t="s">
        <v>569</v>
      </c>
      <c r="G139" s="101">
        <v>9.535849645E9</v>
      </c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8"/>
      <c r="S139" s="108"/>
      <c r="T139" s="108"/>
      <c r="U139" s="111"/>
      <c r="V139" s="108"/>
      <c r="W139" s="110"/>
      <c r="X139" s="108"/>
      <c r="Y139" s="108"/>
      <c r="Z139" s="108"/>
      <c r="AA139" s="108"/>
      <c r="AB139" s="35"/>
      <c r="AC139" s="35"/>
      <c r="AD139" s="35"/>
      <c r="AE139" s="46"/>
      <c r="AF139" s="40"/>
      <c r="AG139" s="40"/>
      <c r="AH139" s="40">
        <v>5.0</v>
      </c>
      <c r="AI139" s="41"/>
      <c r="AJ139" s="25">
        <f t="shared" ref="AJ139:AJ150" si="6">sum(R139:AE139)</f>
        <v>0</v>
      </c>
      <c r="AK139" s="42">
        <f t="shared" ref="AK139:AK150" si="7">AJ139/70%</f>
        <v>0</v>
      </c>
      <c r="AL139" s="27">
        <f t="shared" ref="AL139:AL150" si="8">COUNTIFS(H139:AE139, "&gt;=5")</f>
        <v>0</v>
      </c>
    </row>
    <row r="140">
      <c r="A140" s="108"/>
      <c r="B140" s="108"/>
      <c r="C140" s="90"/>
      <c r="D140" s="90"/>
      <c r="E140" s="90"/>
      <c r="F140" s="90"/>
      <c r="G140" s="90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8"/>
      <c r="S140" s="108"/>
      <c r="T140" s="108"/>
      <c r="U140" s="111"/>
      <c r="V140" s="108"/>
      <c r="W140" s="110"/>
      <c r="X140" s="108"/>
      <c r="Y140" s="108"/>
      <c r="Z140" s="108"/>
      <c r="AA140" s="108"/>
      <c r="AB140" s="35"/>
      <c r="AC140" s="35"/>
      <c r="AD140" s="35"/>
      <c r="AE140" s="46"/>
      <c r="AF140" s="40"/>
      <c r="AG140" s="40"/>
      <c r="AH140" s="40"/>
      <c r="AI140" s="41"/>
      <c r="AJ140" s="25">
        <f t="shared" si="6"/>
        <v>0</v>
      </c>
      <c r="AK140" s="42">
        <f t="shared" si="7"/>
        <v>0</v>
      </c>
      <c r="AL140" s="27">
        <f t="shared" si="8"/>
        <v>0</v>
      </c>
    </row>
    <row r="141">
      <c r="A141" s="108"/>
      <c r="B141" s="108"/>
      <c r="C141" s="90"/>
      <c r="D141" s="90"/>
      <c r="E141" s="90"/>
      <c r="F141" s="90"/>
      <c r="G141" s="90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8"/>
      <c r="S141" s="108"/>
      <c r="T141" s="108"/>
      <c r="U141" s="111"/>
      <c r="V141" s="108"/>
      <c r="W141" s="110"/>
      <c r="X141" s="108"/>
      <c r="Y141" s="108"/>
      <c r="Z141" s="108"/>
      <c r="AA141" s="108"/>
      <c r="AB141" s="35"/>
      <c r="AC141" s="35"/>
      <c r="AD141" s="35"/>
      <c r="AE141" s="46"/>
      <c r="AF141" s="40"/>
      <c r="AG141" s="40"/>
      <c r="AH141" s="40"/>
      <c r="AI141" s="41"/>
      <c r="AJ141" s="25">
        <f t="shared" si="6"/>
        <v>0</v>
      </c>
      <c r="AK141" s="42">
        <f t="shared" si="7"/>
        <v>0</v>
      </c>
      <c r="AL141" s="27">
        <f t="shared" si="8"/>
        <v>0</v>
      </c>
    </row>
    <row r="142">
      <c r="A142" s="108"/>
      <c r="B142" s="108"/>
      <c r="C142" s="90"/>
      <c r="D142" s="90"/>
      <c r="E142" s="90"/>
      <c r="F142" s="90"/>
      <c r="G142" s="90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8"/>
      <c r="S142" s="108"/>
      <c r="T142" s="108"/>
      <c r="U142" s="111"/>
      <c r="V142" s="108"/>
      <c r="W142" s="110"/>
      <c r="X142" s="108"/>
      <c r="Y142" s="108"/>
      <c r="Z142" s="108"/>
      <c r="AA142" s="108"/>
      <c r="AB142" s="35"/>
      <c r="AC142" s="35"/>
      <c r="AD142" s="35"/>
      <c r="AE142" s="46"/>
      <c r="AF142" s="40"/>
      <c r="AG142" s="40"/>
      <c r="AH142" s="40"/>
      <c r="AI142" s="41"/>
      <c r="AJ142" s="25">
        <f t="shared" si="6"/>
        <v>0</v>
      </c>
      <c r="AK142" s="42">
        <f t="shared" si="7"/>
        <v>0</v>
      </c>
      <c r="AL142" s="27">
        <f t="shared" si="8"/>
        <v>0</v>
      </c>
    </row>
    <row r="143">
      <c r="A143" s="108"/>
      <c r="B143" s="108"/>
      <c r="C143" s="90"/>
      <c r="D143" s="90"/>
      <c r="E143" s="90"/>
      <c r="F143" s="90"/>
      <c r="G143" s="90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8"/>
      <c r="S143" s="108"/>
      <c r="T143" s="108"/>
      <c r="U143" s="111"/>
      <c r="V143" s="108"/>
      <c r="W143" s="110"/>
      <c r="X143" s="108"/>
      <c r="Y143" s="108"/>
      <c r="Z143" s="108"/>
      <c r="AA143" s="108"/>
      <c r="AB143" s="35"/>
      <c r="AC143" s="35"/>
      <c r="AD143" s="35"/>
      <c r="AE143" s="46"/>
      <c r="AF143" s="40"/>
      <c r="AG143" s="40"/>
      <c r="AH143" s="40"/>
      <c r="AI143" s="41"/>
      <c r="AJ143" s="25">
        <f t="shared" si="6"/>
        <v>0</v>
      </c>
      <c r="AK143" s="42">
        <f t="shared" si="7"/>
        <v>0</v>
      </c>
      <c r="AL143" s="27">
        <f t="shared" si="8"/>
        <v>0</v>
      </c>
    </row>
    <row r="144">
      <c r="A144" s="108"/>
      <c r="B144" s="108"/>
      <c r="C144" s="90"/>
      <c r="D144" s="90"/>
      <c r="E144" s="90"/>
      <c r="F144" s="90"/>
      <c r="G144" s="90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8"/>
      <c r="S144" s="108"/>
      <c r="T144" s="108"/>
      <c r="U144" s="111"/>
      <c r="V144" s="108"/>
      <c r="W144" s="110"/>
      <c r="X144" s="108"/>
      <c r="Y144" s="108"/>
      <c r="Z144" s="108"/>
      <c r="AA144" s="108"/>
      <c r="AB144" s="35"/>
      <c r="AC144" s="35"/>
      <c r="AD144" s="35"/>
      <c r="AE144" s="46"/>
      <c r="AF144" s="40"/>
      <c r="AG144" s="40"/>
      <c r="AH144" s="40"/>
      <c r="AI144" s="41"/>
      <c r="AJ144" s="25">
        <f t="shared" si="6"/>
        <v>0</v>
      </c>
      <c r="AK144" s="42">
        <f t="shared" si="7"/>
        <v>0</v>
      </c>
      <c r="AL144" s="27">
        <f t="shared" si="8"/>
        <v>0</v>
      </c>
    </row>
    <row r="145">
      <c r="A145" s="108"/>
      <c r="B145" s="108"/>
      <c r="C145" s="90"/>
      <c r="D145" s="90"/>
      <c r="E145" s="90"/>
      <c r="F145" s="90"/>
      <c r="G145" s="90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8"/>
      <c r="S145" s="108"/>
      <c r="T145" s="108"/>
      <c r="U145" s="111"/>
      <c r="V145" s="108"/>
      <c r="W145" s="110"/>
      <c r="X145" s="108"/>
      <c r="Y145" s="108"/>
      <c r="Z145" s="108"/>
      <c r="AA145" s="108"/>
      <c r="AB145" s="35"/>
      <c r="AC145" s="35"/>
      <c r="AD145" s="35"/>
      <c r="AE145" s="46"/>
      <c r="AF145" s="40"/>
      <c r="AG145" s="40"/>
      <c r="AH145" s="40"/>
      <c r="AI145" s="41"/>
      <c r="AJ145" s="25">
        <f t="shared" si="6"/>
        <v>0</v>
      </c>
      <c r="AK145" s="42">
        <f t="shared" si="7"/>
        <v>0</v>
      </c>
      <c r="AL145" s="27">
        <f t="shared" si="8"/>
        <v>0</v>
      </c>
    </row>
    <row r="146">
      <c r="A146" s="108"/>
      <c r="B146" s="108"/>
      <c r="C146" s="90"/>
      <c r="D146" s="90"/>
      <c r="E146" s="90"/>
      <c r="F146" s="90"/>
      <c r="G146" s="90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8"/>
      <c r="S146" s="108"/>
      <c r="T146" s="108"/>
      <c r="U146" s="111"/>
      <c r="V146" s="108"/>
      <c r="W146" s="110"/>
      <c r="X146" s="108"/>
      <c r="Y146" s="108"/>
      <c r="Z146" s="108"/>
      <c r="AA146" s="108"/>
      <c r="AB146" s="35"/>
      <c r="AC146" s="35"/>
      <c r="AD146" s="35"/>
      <c r="AE146" s="46"/>
      <c r="AF146" s="40"/>
      <c r="AG146" s="40"/>
      <c r="AH146" s="40"/>
      <c r="AI146" s="41"/>
      <c r="AJ146" s="25">
        <f t="shared" si="6"/>
        <v>0</v>
      </c>
      <c r="AK146" s="42">
        <f t="shared" si="7"/>
        <v>0</v>
      </c>
      <c r="AL146" s="27">
        <f t="shared" si="8"/>
        <v>0</v>
      </c>
    </row>
    <row r="147">
      <c r="A147" s="108"/>
      <c r="B147" s="108"/>
      <c r="C147" s="90"/>
      <c r="D147" s="90"/>
      <c r="E147" s="90"/>
      <c r="F147" s="90"/>
      <c r="G147" s="90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8"/>
      <c r="S147" s="108"/>
      <c r="T147" s="108"/>
      <c r="U147" s="111"/>
      <c r="V147" s="108"/>
      <c r="W147" s="110"/>
      <c r="X147" s="108"/>
      <c r="Y147" s="108"/>
      <c r="Z147" s="108"/>
      <c r="AA147" s="108"/>
      <c r="AB147" s="35"/>
      <c r="AC147" s="35"/>
      <c r="AD147" s="35"/>
      <c r="AE147" s="46"/>
      <c r="AF147" s="40"/>
      <c r="AG147" s="40"/>
      <c r="AH147" s="40"/>
      <c r="AI147" s="41"/>
      <c r="AJ147" s="25">
        <f t="shared" si="6"/>
        <v>0</v>
      </c>
      <c r="AK147" s="42">
        <f t="shared" si="7"/>
        <v>0</v>
      </c>
      <c r="AL147" s="27">
        <f t="shared" si="8"/>
        <v>0</v>
      </c>
    </row>
    <row r="148">
      <c r="A148" s="108"/>
      <c r="B148" s="108"/>
      <c r="C148" s="90"/>
      <c r="D148" s="90"/>
      <c r="E148" s="90"/>
      <c r="F148" s="90"/>
      <c r="G148" s="90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8"/>
      <c r="S148" s="108"/>
      <c r="T148" s="108"/>
      <c r="U148" s="111"/>
      <c r="V148" s="108"/>
      <c r="W148" s="110"/>
      <c r="X148" s="108"/>
      <c r="Y148" s="108"/>
      <c r="Z148" s="108"/>
      <c r="AA148" s="108"/>
      <c r="AB148" s="35"/>
      <c r="AC148" s="35"/>
      <c r="AD148" s="35"/>
      <c r="AE148" s="46"/>
      <c r="AF148" s="40"/>
      <c r="AG148" s="40"/>
      <c r="AH148" s="40"/>
      <c r="AI148" s="41"/>
      <c r="AJ148" s="25">
        <f t="shared" si="6"/>
        <v>0</v>
      </c>
      <c r="AK148" s="42">
        <f t="shared" si="7"/>
        <v>0</v>
      </c>
      <c r="AL148" s="27">
        <f t="shared" si="8"/>
        <v>0</v>
      </c>
    </row>
    <row r="149">
      <c r="A149" s="108"/>
      <c r="B149" s="108"/>
      <c r="C149" s="90"/>
      <c r="D149" s="90"/>
      <c r="E149" s="90"/>
      <c r="F149" s="90"/>
      <c r="G149" s="90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8"/>
      <c r="S149" s="108"/>
      <c r="T149" s="108"/>
      <c r="U149" s="111"/>
      <c r="V149" s="108"/>
      <c r="W149" s="110"/>
      <c r="X149" s="108"/>
      <c r="Y149" s="108"/>
      <c r="Z149" s="108"/>
      <c r="AA149" s="108"/>
      <c r="AB149" s="35"/>
      <c r="AC149" s="35"/>
      <c r="AD149" s="35"/>
      <c r="AE149" s="46"/>
      <c r="AF149" s="40"/>
      <c r="AG149" s="40"/>
      <c r="AH149" s="40"/>
      <c r="AI149" s="41"/>
      <c r="AJ149" s="25">
        <f t="shared" si="6"/>
        <v>0</v>
      </c>
      <c r="AK149" s="42">
        <f t="shared" si="7"/>
        <v>0</v>
      </c>
      <c r="AL149" s="27">
        <f t="shared" si="8"/>
        <v>0</v>
      </c>
    </row>
    <row r="150">
      <c r="A150" s="108"/>
      <c r="B150" s="108"/>
      <c r="C150" s="90"/>
      <c r="D150" s="90"/>
      <c r="E150" s="90"/>
      <c r="F150" s="90"/>
      <c r="G150" s="90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8"/>
      <c r="S150" s="108"/>
      <c r="T150" s="108"/>
      <c r="U150" s="111"/>
      <c r="V150" s="108"/>
      <c r="W150" s="110"/>
      <c r="X150" s="108"/>
      <c r="Y150" s="108"/>
      <c r="Z150" s="108"/>
      <c r="AA150" s="108"/>
      <c r="AB150" s="35"/>
      <c r="AC150" s="35"/>
      <c r="AD150" s="35"/>
      <c r="AE150" s="46"/>
      <c r="AF150" s="40"/>
      <c r="AG150" s="40"/>
      <c r="AH150" s="40"/>
      <c r="AI150" s="41"/>
      <c r="AJ150" s="25">
        <f t="shared" si="6"/>
        <v>0</v>
      </c>
      <c r="AK150" s="42">
        <f t="shared" si="7"/>
        <v>0</v>
      </c>
      <c r="AL150" s="27">
        <f t="shared" si="8"/>
        <v>0</v>
      </c>
    </row>
    <row r="151">
      <c r="A151" s="108"/>
      <c r="B151" s="108"/>
      <c r="C151" s="90"/>
      <c r="D151" s="90"/>
      <c r="E151" s="90"/>
      <c r="F151" s="90"/>
      <c r="G151" s="90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8"/>
      <c r="S151" s="108"/>
      <c r="T151" s="108"/>
      <c r="U151" s="111"/>
      <c r="V151" s="108"/>
      <c r="W151" s="110"/>
      <c r="X151" s="108"/>
      <c r="Y151" s="108"/>
      <c r="Z151" s="108"/>
      <c r="AA151" s="108"/>
      <c r="AB151" s="108"/>
      <c r="AC151" s="108"/>
      <c r="AD151" s="108"/>
      <c r="AE151" s="119"/>
      <c r="AF151" s="120"/>
      <c r="AG151" s="120"/>
      <c r="AH151" s="120"/>
      <c r="AI151" s="120"/>
      <c r="AJ151" s="121"/>
      <c r="AK151" s="121"/>
      <c r="AL151" s="122"/>
    </row>
    <row r="152">
      <c r="A152" s="108"/>
      <c r="B152" s="108"/>
      <c r="C152" s="90"/>
      <c r="D152" s="90"/>
      <c r="E152" s="90"/>
      <c r="F152" s="90"/>
      <c r="G152" s="90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8"/>
      <c r="S152" s="108"/>
      <c r="T152" s="108"/>
      <c r="U152" s="111"/>
      <c r="V152" s="108"/>
      <c r="W152" s="110"/>
      <c r="X152" s="108"/>
      <c r="Y152" s="108"/>
      <c r="Z152" s="108"/>
      <c r="AA152" s="108"/>
      <c r="AB152" s="108"/>
      <c r="AC152" s="108"/>
      <c r="AD152" s="108"/>
      <c r="AE152" s="119"/>
      <c r="AF152" s="120"/>
      <c r="AG152" s="120"/>
      <c r="AH152" s="120"/>
      <c r="AI152" s="120"/>
      <c r="AJ152" s="121"/>
      <c r="AK152" s="121"/>
      <c r="AL152" s="122"/>
    </row>
    <row r="153">
      <c r="A153" s="108"/>
      <c r="B153" s="108"/>
      <c r="C153" s="90"/>
      <c r="D153" s="90"/>
      <c r="E153" s="90"/>
      <c r="F153" s="90"/>
      <c r="G153" s="90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8"/>
      <c r="S153" s="108"/>
      <c r="T153" s="108"/>
      <c r="U153" s="111"/>
      <c r="V153" s="108"/>
      <c r="W153" s="110"/>
      <c r="X153" s="108"/>
      <c r="Y153" s="108"/>
      <c r="Z153" s="108"/>
      <c r="AA153" s="108"/>
      <c r="AB153" s="108"/>
      <c r="AC153" s="108"/>
      <c r="AD153" s="108"/>
      <c r="AE153" s="119"/>
      <c r="AF153" s="120"/>
      <c r="AG153" s="120"/>
      <c r="AH153" s="120"/>
      <c r="AI153" s="120"/>
      <c r="AJ153" s="121"/>
      <c r="AK153" s="121"/>
      <c r="AL153" s="122"/>
    </row>
    <row r="154">
      <c r="A154" s="108"/>
      <c r="B154" s="108"/>
      <c r="C154" s="90"/>
      <c r="D154" s="90"/>
      <c r="E154" s="90"/>
      <c r="F154" s="90"/>
      <c r="G154" s="90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8"/>
      <c r="S154" s="108"/>
      <c r="T154" s="108"/>
      <c r="U154" s="111"/>
      <c r="V154" s="108"/>
      <c r="W154" s="110"/>
      <c r="X154" s="108"/>
      <c r="Y154" s="108"/>
      <c r="Z154" s="108"/>
      <c r="AA154" s="108"/>
      <c r="AB154" s="108"/>
      <c r="AC154" s="108"/>
      <c r="AD154" s="108"/>
      <c r="AE154" s="119"/>
      <c r="AF154" s="120"/>
      <c r="AG154" s="120"/>
      <c r="AH154" s="120"/>
      <c r="AI154" s="120"/>
      <c r="AJ154" s="121"/>
      <c r="AK154" s="121"/>
      <c r="AL154" s="122"/>
    </row>
    <row r="155">
      <c r="A155" s="108"/>
      <c r="B155" s="108"/>
      <c r="C155" s="90"/>
      <c r="D155" s="90"/>
      <c r="E155" s="90"/>
      <c r="F155" s="90"/>
      <c r="G155" s="90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8"/>
      <c r="S155" s="108"/>
      <c r="T155" s="108"/>
      <c r="U155" s="111"/>
      <c r="V155" s="108"/>
      <c r="W155" s="110"/>
      <c r="X155" s="108"/>
      <c r="Y155" s="108"/>
      <c r="Z155" s="108"/>
      <c r="AA155" s="108"/>
      <c r="AB155" s="108"/>
      <c r="AC155" s="108"/>
      <c r="AD155" s="108"/>
      <c r="AE155" s="119"/>
      <c r="AF155" s="120"/>
      <c r="AG155" s="120"/>
      <c r="AH155" s="120"/>
      <c r="AI155" s="120"/>
      <c r="AJ155" s="121"/>
      <c r="AK155" s="121"/>
      <c r="AL155" s="122"/>
    </row>
    <row r="156">
      <c r="A156" s="108"/>
      <c r="B156" s="108"/>
      <c r="C156" s="90"/>
      <c r="D156" s="90"/>
      <c r="E156" s="90"/>
      <c r="F156" s="90"/>
      <c r="G156" s="90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8"/>
      <c r="S156" s="108"/>
      <c r="T156" s="108"/>
      <c r="U156" s="111"/>
      <c r="V156" s="108"/>
      <c r="W156" s="110"/>
      <c r="X156" s="108"/>
      <c r="Y156" s="108"/>
      <c r="Z156" s="108"/>
      <c r="AA156" s="108"/>
      <c r="AB156" s="108"/>
      <c r="AC156" s="108"/>
      <c r="AD156" s="108"/>
      <c r="AE156" s="119"/>
      <c r="AF156" s="120"/>
      <c r="AG156" s="120"/>
      <c r="AH156" s="120"/>
      <c r="AI156" s="120"/>
      <c r="AJ156" s="121"/>
      <c r="AK156" s="121"/>
      <c r="AL156" s="122"/>
    </row>
    <row r="157">
      <c r="A157" s="108"/>
      <c r="B157" s="108"/>
      <c r="C157" s="90"/>
      <c r="D157" s="90"/>
      <c r="E157" s="90"/>
      <c r="F157" s="90"/>
      <c r="G157" s="90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8"/>
      <c r="S157" s="108"/>
      <c r="T157" s="108"/>
      <c r="U157" s="111"/>
      <c r="V157" s="108"/>
      <c r="W157" s="110"/>
      <c r="X157" s="108"/>
      <c r="Y157" s="108"/>
      <c r="Z157" s="108"/>
      <c r="AA157" s="108"/>
      <c r="AB157" s="108"/>
      <c r="AC157" s="108"/>
      <c r="AD157" s="108"/>
      <c r="AE157" s="119"/>
      <c r="AF157" s="120"/>
      <c r="AG157" s="120"/>
      <c r="AH157" s="120"/>
      <c r="AI157" s="120"/>
      <c r="AJ157" s="121"/>
      <c r="AK157" s="121"/>
      <c r="AL157" s="122"/>
    </row>
    <row r="158">
      <c r="A158" s="108"/>
      <c r="B158" s="108"/>
      <c r="C158" s="90"/>
      <c r="D158" s="90"/>
      <c r="E158" s="90"/>
      <c r="F158" s="90"/>
      <c r="G158" s="90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8"/>
      <c r="S158" s="108"/>
      <c r="T158" s="108"/>
      <c r="U158" s="111"/>
      <c r="V158" s="108"/>
      <c r="W158" s="110"/>
      <c r="X158" s="108"/>
      <c r="Y158" s="108"/>
      <c r="Z158" s="108"/>
      <c r="AA158" s="108"/>
      <c r="AB158" s="108"/>
      <c r="AC158" s="108"/>
      <c r="AD158" s="108"/>
      <c r="AE158" s="119"/>
      <c r="AF158" s="120"/>
      <c r="AG158" s="120"/>
      <c r="AH158" s="120"/>
      <c r="AI158" s="120"/>
      <c r="AJ158" s="121"/>
      <c r="AK158" s="121"/>
      <c r="AL158" s="122"/>
    </row>
    <row r="159">
      <c r="A159" s="108"/>
      <c r="B159" s="108"/>
      <c r="C159" s="90"/>
      <c r="D159" s="90"/>
      <c r="E159" s="90"/>
      <c r="F159" s="90"/>
      <c r="G159" s="90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8"/>
      <c r="S159" s="108"/>
      <c r="T159" s="108"/>
      <c r="U159" s="111"/>
      <c r="V159" s="108"/>
      <c r="W159" s="110"/>
      <c r="X159" s="108"/>
      <c r="Y159" s="108"/>
      <c r="Z159" s="108"/>
      <c r="AA159" s="108"/>
      <c r="AB159" s="108"/>
      <c r="AC159" s="108"/>
      <c r="AD159" s="108"/>
      <c r="AE159" s="119"/>
      <c r="AF159" s="120"/>
      <c r="AG159" s="120"/>
      <c r="AH159" s="120"/>
      <c r="AI159" s="120"/>
      <c r="AJ159" s="121"/>
      <c r="AK159" s="121"/>
      <c r="AL159" s="122"/>
    </row>
    <row r="160">
      <c r="A160" s="108"/>
      <c r="B160" s="108"/>
      <c r="C160" s="90"/>
      <c r="D160" s="90"/>
      <c r="E160" s="90"/>
      <c r="F160" s="90"/>
      <c r="G160" s="90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8"/>
      <c r="S160" s="108"/>
      <c r="T160" s="108"/>
      <c r="U160" s="111"/>
      <c r="V160" s="108"/>
      <c r="W160" s="110"/>
      <c r="X160" s="108"/>
      <c r="Y160" s="108"/>
      <c r="Z160" s="108"/>
      <c r="AA160" s="108"/>
      <c r="AB160" s="108"/>
      <c r="AC160" s="108"/>
      <c r="AD160" s="108"/>
      <c r="AE160" s="119"/>
      <c r="AF160" s="120"/>
      <c r="AG160" s="120"/>
      <c r="AH160" s="120"/>
      <c r="AI160" s="120"/>
      <c r="AJ160" s="121"/>
      <c r="AK160" s="121"/>
      <c r="AL160" s="122"/>
    </row>
    <row r="161">
      <c r="A161" s="108"/>
      <c r="B161" s="108"/>
      <c r="C161" s="90"/>
      <c r="D161" s="90"/>
      <c r="E161" s="90"/>
      <c r="F161" s="90"/>
      <c r="G161" s="90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8"/>
      <c r="S161" s="108"/>
      <c r="T161" s="108"/>
      <c r="U161" s="111"/>
      <c r="V161" s="108"/>
      <c r="W161" s="110"/>
      <c r="X161" s="108"/>
      <c r="Y161" s="108"/>
      <c r="Z161" s="108"/>
      <c r="AA161" s="108"/>
      <c r="AB161" s="108"/>
      <c r="AC161" s="108"/>
      <c r="AD161" s="108"/>
      <c r="AE161" s="119"/>
      <c r="AF161" s="120"/>
      <c r="AG161" s="120"/>
      <c r="AH161" s="120"/>
      <c r="AI161" s="120"/>
      <c r="AJ161" s="121"/>
      <c r="AK161" s="121"/>
      <c r="AL161" s="122"/>
    </row>
    <row r="162">
      <c r="A162" s="108"/>
      <c r="B162" s="108"/>
      <c r="C162" s="90"/>
      <c r="D162" s="90"/>
      <c r="E162" s="90"/>
      <c r="F162" s="90"/>
      <c r="G162" s="90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8"/>
      <c r="S162" s="108"/>
      <c r="T162" s="108"/>
      <c r="U162" s="111"/>
      <c r="V162" s="108"/>
      <c r="W162" s="110"/>
      <c r="X162" s="108"/>
      <c r="Y162" s="108"/>
      <c r="Z162" s="108"/>
      <c r="AA162" s="108"/>
      <c r="AB162" s="108"/>
      <c r="AC162" s="108"/>
      <c r="AD162" s="108"/>
      <c r="AE162" s="119"/>
      <c r="AF162" s="120"/>
      <c r="AG162" s="120"/>
      <c r="AH162" s="120"/>
      <c r="AI162" s="120"/>
      <c r="AJ162" s="121"/>
      <c r="AK162" s="121"/>
      <c r="AL162" s="122"/>
    </row>
    <row r="163">
      <c r="A163" s="108"/>
      <c r="B163" s="108"/>
      <c r="C163" s="90"/>
      <c r="D163" s="90"/>
      <c r="E163" s="90"/>
      <c r="F163" s="90"/>
      <c r="G163" s="90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8"/>
      <c r="S163" s="108"/>
      <c r="T163" s="108"/>
      <c r="U163" s="111"/>
      <c r="V163" s="108"/>
      <c r="W163" s="110"/>
      <c r="X163" s="108"/>
      <c r="Y163" s="108"/>
      <c r="Z163" s="108"/>
      <c r="AA163" s="108"/>
      <c r="AB163" s="108"/>
      <c r="AC163" s="108"/>
      <c r="AD163" s="108"/>
      <c r="AE163" s="119"/>
      <c r="AF163" s="120"/>
      <c r="AG163" s="120"/>
      <c r="AH163" s="120"/>
      <c r="AI163" s="120"/>
      <c r="AJ163" s="121"/>
      <c r="AK163" s="121"/>
      <c r="AL163" s="122"/>
    </row>
    <row r="164">
      <c r="A164" s="108"/>
      <c r="B164" s="108"/>
      <c r="C164" s="90"/>
      <c r="D164" s="90"/>
      <c r="E164" s="90"/>
      <c r="F164" s="90"/>
      <c r="G164" s="90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8"/>
      <c r="S164" s="108"/>
      <c r="T164" s="108"/>
      <c r="U164" s="111"/>
      <c r="V164" s="108"/>
      <c r="W164" s="110"/>
      <c r="X164" s="108"/>
      <c r="Y164" s="108"/>
      <c r="Z164" s="108"/>
      <c r="AA164" s="108"/>
      <c r="AB164" s="108"/>
      <c r="AC164" s="108"/>
      <c r="AD164" s="108"/>
      <c r="AE164" s="119"/>
      <c r="AF164" s="120"/>
      <c r="AG164" s="120"/>
      <c r="AH164" s="120"/>
      <c r="AI164" s="120"/>
      <c r="AJ164" s="121"/>
      <c r="AK164" s="121"/>
      <c r="AL164" s="122"/>
    </row>
    <row r="165">
      <c r="A165" s="108"/>
      <c r="B165" s="108"/>
      <c r="C165" s="90"/>
      <c r="D165" s="90"/>
      <c r="E165" s="90"/>
      <c r="F165" s="90"/>
      <c r="G165" s="90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8"/>
      <c r="S165" s="108"/>
      <c r="T165" s="108"/>
      <c r="U165" s="111"/>
      <c r="V165" s="108"/>
      <c r="W165" s="110"/>
      <c r="X165" s="108"/>
      <c r="Y165" s="108"/>
      <c r="Z165" s="108"/>
      <c r="AA165" s="108"/>
      <c r="AB165" s="108"/>
      <c r="AC165" s="108"/>
      <c r="AD165" s="108"/>
      <c r="AE165" s="119"/>
      <c r="AF165" s="120"/>
      <c r="AG165" s="120"/>
      <c r="AH165" s="120"/>
      <c r="AI165" s="120"/>
      <c r="AJ165" s="121"/>
      <c r="AK165" s="121"/>
      <c r="AL165" s="122"/>
    </row>
    <row r="166">
      <c r="A166" s="108"/>
      <c r="B166" s="108"/>
      <c r="C166" s="90"/>
      <c r="D166" s="90"/>
      <c r="E166" s="90"/>
      <c r="F166" s="90"/>
      <c r="G166" s="90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8"/>
      <c r="S166" s="108"/>
      <c r="T166" s="108"/>
      <c r="U166" s="111"/>
      <c r="V166" s="108"/>
      <c r="W166" s="110"/>
      <c r="X166" s="108"/>
      <c r="Y166" s="108"/>
      <c r="Z166" s="108"/>
      <c r="AA166" s="108"/>
      <c r="AB166" s="108"/>
      <c r="AC166" s="108"/>
      <c r="AD166" s="108"/>
      <c r="AE166" s="119"/>
      <c r="AF166" s="120"/>
      <c r="AG166" s="120"/>
      <c r="AH166" s="120"/>
      <c r="AI166" s="120"/>
      <c r="AJ166" s="121"/>
      <c r="AK166" s="121"/>
      <c r="AL166" s="122"/>
    </row>
    <row r="167">
      <c r="A167" s="108"/>
      <c r="B167" s="108"/>
      <c r="C167" s="90"/>
      <c r="D167" s="90"/>
      <c r="E167" s="90"/>
      <c r="F167" s="90"/>
      <c r="G167" s="90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8"/>
      <c r="S167" s="108"/>
      <c r="T167" s="108"/>
      <c r="U167" s="111"/>
      <c r="V167" s="108"/>
      <c r="W167" s="110"/>
      <c r="X167" s="108"/>
      <c r="Y167" s="108"/>
      <c r="Z167" s="108"/>
      <c r="AA167" s="108"/>
      <c r="AB167" s="108"/>
      <c r="AC167" s="108"/>
      <c r="AD167" s="108"/>
      <c r="AE167" s="119"/>
      <c r="AF167" s="120"/>
      <c r="AG167" s="120"/>
      <c r="AH167" s="120"/>
      <c r="AI167" s="120"/>
      <c r="AJ167" s="121"/>
      <c r="AK167" s="121"/>
      <c r="AL167" s="122"/>
    </row>
    <row r="168">
      <c r="A168" s="108"/>
      <c r="B168" s="108"/>
      <c r="C168" s="90"/>
      <c r="D168" s="90"/>
      <c r="E168" s="90"/>
      <c r="F168" s="90"/>
      <c r="G168" s="90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8"/>
      <c r="S168" s="108"/>
      <c r="T168" s="108"/>
      <c r="U168" s="111"/>
      <c r="V168" s="108"/>
      <c r="W168" s="110"/>
      <c r="X168" s="108"/>
      <c r="Y168" s="108"/>
      <c r="Z168" s="108"/>
      <c r="AA168" s="108"/>
      <c r="AB168" s="108"/>
      <c r="AC168" s="108"/>
      <c r="AD168" s="108"/>
      <c r="AE168" s="119"/>
      <c r="AF168" s="120"/>
      <c r="AG168" s="120"/>
      <c r="AH168" s="120"/>
      <c r="AI168" s="120"/>
      <c r="AJ168" s="121"/>
      <c r="AK168" s="121"/>
      <c r="AL168" s="122"/>
    </row>
    <row r="169">
      <c r="A169" s="108"/>
      <c r="B169" s="108"/>
      <c r="C169" s="90"/>
      <c r="D169" s="90"/>
      <c r="E169" s="90"/>
      <c r="F169" s="90"/>
      <c r="G169" s="90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8"/>
      <c r="S169" s="108"/>
      <c r="T169" s="108"/>
      <c r="U169" s="111"/>
      <c r="V169" s="108"/>
      <c r="W169" s="110"/>
      <c r="X169" s="108"/>
      <c r="Y169" s="108"/>
      <c r="Z169" s="108"/>
      <c r="AA169" s="108"/>
      <c r="AB169" s="108"/>
      <c r="AC169" s="108"/>
      <c r="AD169" s="108"/>
      <c r="AE169" s="119"/>
      <c r="AF169" s="120"/>
      <c r="AG169" s="120"/>
      <c r="AH169" s="120"/>
      <c r="AI169" s="120"/>
      <c r="AJ169" s="121"/>
      <c r="AK169" s="121"/>
      <c r="AL169" s="122"/>
    </row>
    <row r="170">
      <c r="A170" s="108"/>
      <c r="B170" s="108"/>
      <c r="C170" s="90"/>
      <c r="D170" s="90"/>
      <c r="E170" s="90"/>
      <c r="F170" s="90"/>
      <c r="G170" s="90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8"/>
      <c r="S170" s="108"/>
      <c r="T170" s="108"/>
      <c r="U170" s="111"/>
      <c r="V170" s="108"/>
      <c r="W170" s="110"/>
      <c r="X170" s="108"/>
      <c r="Y170" s="108"/>
      <c r="Z170" s="108"/>
      <c r="AA170" s="108"/>
      <c r="AB170" s="108"/>
      <c r="AC170" s="108"/>
      <c r="AD170" s="108"/>
      <c r="AE170" s="119"/>
      <c r="AF170" s="120"/>
      <c r="AG170" s="120"/>
      <c r="AH170" s="120"/>
      <c r="AI170" s="120"/>
      <c r="AJ170" s="121"/>
      <c r="AK170" s="121"/>
      <c r="AL170" s="122"/>
    </row>
    <row r="171">
      <c r="A171" s="108"/>
      <c r="B171" s="108"/>
      <c r="C171" s="90"/>
      <c r="D171" s="90"/>
      <c r="E171" s="90"/>
      <c r="F171" s="90"/>
      <c r="G171" s="90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8"/>
      <c r="S171" s="108"/>
      <c r="T171" s="108"/>
      <c r="U171" s="111"/>
      <c r="V171" s="108"/>
      <c r="W171" s="110"/>
      <c r="X171" s="108"/>
      <c r="Y171" s="108"/>
      <c r="Z171" s="108"/>
      <c r="AA171" s="108"/>
      <c r="AB171" s="108"/>
      <c r="AC171" s="108"/>
      <c r="AD171" s="108"/>
      <c r="AE171" s="119"/>
      <c r="AF171" s="120"/>
      <c r="AG171" s="120"/>
      <c r="AH171" s="120"/>
      <c r="AI171" s="120"/>
      <c r="AJ171" s="121"/>
      <c r="AK171" s="121"/>
      <c r="AL171" s="122"/>
    </row>
    <row r="172">
      <c r="A172" s="108"/>
      <c r="B172" s="108"/>
      <c r="C172" s="90"/>
      <c r="D172" s="90"/>
      <c r="E172" s="90"/>
      <c r="F172" s="90"/>
      <c r="G172" s="90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8"/>
      <c r="S172" s="108"/>
      <c r="T172" s="108"/>
      <c r="U172" s="111"/>
      <c r="V172" s="108"/>
      <c r="W172" s="110"/>
      <c r="X172" s="108"/>
      <c r="Y172" s="108"/>
      <c r="Z172" s="108"/>
      <c r="AA172" s="108"/>
      <c r="AB172" s="108"/>
      <c r="AC172" s="108"/>
      <c r="AD172" s="108"/>
      <c r="AE172" s="119"/>
      <c r="AF172" s="120"/>
      <c r="AG172" s="120"/>
      <c r="AH172" s="120"/>
      <c r="AI172" s="120"/>
      <c r="AJ172" s="121"/>
      <c r="AK172" s="121"/>
      <c r="AL172" s="122"/>
    </row>
    <row r="173">
      <c r="A173" s="108"/>
      <c r="B173" s="108"/>
      <c r="C173" s="90"/>
      <c r="D173" s="90"/>
      <c r="E173" s="90"/>
      <c r="F173" s="90"/>
      <c r="G173" s="90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8"/>
      <c r="S173" s="108"/>
      <c r="T173" s="108"/>
      <c r="U173" s="111"/>
      <c r="V173" s="108"/>
      <c r="W173" s="110"/>
      <c r="X173" s="108"/>
      <c r="Y173" s="108"/>
      <c r="Z173" s="108"/>
      <c r="AA173" s="108"/>
      <c r="AB173" s="108"/>
      <c r="AC173" s="108"/>
      <c r="AD173" s="108"/>
      <c r="AE173" s="119"/>
      <c r="AF173" s="120"/>
      <c r="AG173" s="120"/>
      <c r="AH173" s="120"/>
      <c r="AI173" s="120"/>
      <c r="AJ173" s="121"/>
      <c r="AK173" s="121"/>
      <c r="AL173" s="122"/>
    </row>
    <row r="174">
      <c r="A174" s="108"/>
      <c r="B174" s="108"/>
      <c r="C174" s="90"/>
      <c r="D174" s="90"/>
      <c r="E174" s="90"/>
      <c r="F174" s="90"/>
      <c r="G174" s="90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8"/>
      <c r="S174" s="108"/>
      <c r="T174" s="108"/>
      <c r="U174" s="111"/>
      <c r="V174" s="108"/>
      <c r="W174" s="110"/>
      <c r="X174" s="108"/>
      <c r="Y174" s="108"/>
      <c r="Z174" s="108"/>
      <c r="AA174" s="108"/>
      <c r="AB174" s="108"/>
      <c r="AC174" s="108"/>
      <c r="AD174" s="108"/>
      <c r="AE174" s="119"/>
      <c r="AF174" s="120"/>
      <c r="AG174" s="120"/>
      <c r="AH174" s="120"/>
      <c r="AI174" s="120"/>
      <c r="AJ174" s="121"/>
      <c r="AK174" s="121"/>
      <c r="AL174" s="122"/>
    </row>
    <row r="175">
      <c r="A175" s="108"/>
      <c r="B175" s="108"/>
      <c r="C175" s="90"/>
      <c r="D175" s="90"/>
      <c r="E175" s="90"/>
      <c r="F175" s="90"/>
      <c r="G175" s="90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8"/>
      <c r="S175" s="108"/>
      <c r="T175" s="108"/>
      <c r="U175" s="111"/>
      <c r="V175" s="108"/>
      <c r="W175" s="110"/>
      <c r="X175" s="108"/>
      <c r="Y175" s="108"/>
      <c r="Z175" s="108"/>
      <c r="AA175" s="108"/>
      <c r="AB175" s="108"/>
      <c r="AC175" s="108"/>
      <c r="AD175" s="108"/>
      <c r="AE175" s="119"/>
      <c r="AF175" s="120"/>
      <c r="AG175" s="120"/>
      <c r="AH175" s="120"/>
      <c r="AI175" s="120"/>
      <c r="AJ175" s="121"/>
      <c r="AK175" s="121"/>
      <c r="AL175" s="122"/>
    </row>
    <row r="176">
      <c r="A176" s="108"/>
      <c r="B176" s="108"/>
      <c r="C176" s="90"/>
      <c r="D176" s="90"/>
      <c r="E176" s="90"/>
      <c r="F176" s="90"/>
      <c r="G176" s="90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8"/>
      <c r="S176" s="108"/>
      <c r="T176" s="108"/>
      <c r="U176" s="111"/>
      <c r="V176" s="108"/>
      <c r="W176" s="110"/>
      <c r="X176" s="108"/>
      <c r="Y176" s="108"/>
      <c r="Z176" s="108"/>
      <c r="AA176" s="108"/>
      <c r="AB176" s="108"/>
      <c r="AC176" s="108"/>
      <c r="AD176" s="108"/>
      <c r="AE176" s="119"/>
      <c r="AF176" s="120"/>
      <c r="AG176" s="120"/>
      <c r="AH176" s="120"/>
      <c r="AI176" s="120"/>
      <c r="AJ176" s="121"/>
      <c r="AK176" s="121"/>
      <c r="AL176" s="122"/>
    </row>
    <row r="177">
      <c r="A177" s="108"/>
      <c r="B177" s="108"/>
      <c r="C177" s="90"/>
      <c r="D177" s="90"/>
      <c r="E177" s="90"/>
      <c r="F177" s="90"/>
      <c r="G177" s="90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8"/>
      <c r="S177" s="108"/>
      <c r="T177" s="108"/>
      <c r="U177" s="111"/>
      <c r="V177" s="108"/>
      <c r="W177" s="110"/>
      <c r="X177" s="108"/>
      <c r="Y177" s="108"/>
      <c r="Z177" s="108"/>
      <c r="AA177" s="108"/>
      <c r="AB177" s="108"/>
      <c r="AC177" s="108"/>
      <c r="AD177" s="108"/>
      <c r="AE177" s="119"/>
      <c r="AF177" s="120"/>
      <c r="AG177" s="120"/>
      <c r="AH177" s="120"/>
      <c r="AI177" s="120"/>
      <c r="AJ177" s="121"/>
      <c r="AK177" s="121"/>
      <c r="AL177" s="122"/>
    </row>
    <row r="178">
      <c r="A178" s="108"/>
      <c r="B178" s="108"/>
      <c r="C178" s="90"/>
      <c r="D178" s="90"/>
      <c r="E178" s="90"/>
      <c r="F178" s="90"/>
      <c r="G178" s="90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8"/>
      <c r="S178" s="108"/>
      <c r="T178" s="108"/>
      <c r="U178" s="111"/>
      <c r="V178" s="108"/>
      <c r="W178" s="110"/>
      <c r="X178" s="108"/>
      <c r="Y178" s="108"/>
      <c r="Z178" s="108"/>
      <c r="AA178" s="108"/>
      <c r="AB178" s="108"/>
      <c r="AC178" s="108"/>
      <c r="AD178" s="108"/>
      <c r="AE178" s="119"/>
      <c r="AF178" s="120"/>
      <c r="AG178" s="120"/>
      <c r="AH178" s="120"/>
      <c r="AI178" s="120"/>
      <c r="AJ178" s="121"/>
      <c r="AK178" s="121"/>
      <c r="AL178" s="122"/>
    </row>
    <row r="179">
      <c r="A179" s="108"/>
      <c r="B179" s="108"/>
      <c r="C179" s="90"/>
      <c r="D179" s="90"/>
      <c r="E179" s="90"/>
      <c r="F179" s="90"/>
      <c r="G179" s="90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8"/>
      <c r="S179" s="108"/>
      <c r="T179" s="108"/>
      <c r="U179" s="111"/>
      <c r="V179" s="108"/>
      <c r="W179" s="110"/>
      <c r="X179" s="108"/>
      <c r="Y179" s="108"/>
      <c r="Z179" s="108"/>
      <c r="AA179" s="108"/>
      <c r="AB179" s="108"/>
      <c r="AC179" s="108"/>
      <c r="AD179" s="108"/>
      <c r="AE179" s="119"/>
      <c r="AF179" s="120"/>
      <c r="AG179" s="120"/>
      <c r="AH179" s="120"/>
      <c r="AI179" s="120"/>
      <c r="AJ179" s="121"/>
      <c r="AK179" s="121"/>
      <c r="AL179" s="122"/>
    </row>
    <row r="180">
      <c r="A180" s="108"/>
      <c r="B180" s="108"/>
      <c r="C180" s="90"/>
      <c r="D180" s="90"/>
      <c r="E180" s="90"/>
      <c r="F180" s="90"/>
      <c r="G180" s="90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8"/>
      <c r="S180" s="108"/>
      <c r="T180" s="108"/>
      <c r="U180" s="111"/>
      <c r="V180" s="108"/>
      <c r="W180" s="110"/>
      <c r="X180" s="108"/>
      <c r="Y180" s="108"/>
      <c r="Z180" s="108"/>
      <c r="AA180" s="108"/>
      <c r="AB180" s="108"/>
      <c r="AC180" s="108"/>
      <c r="AD180" s="108"/>
      <c r="AE180" s="119"/>
      <c r="AF180" s="120"/>
      <c r="AG180" s="120"/>
      <c r="AH180" s="120"/>
      <c r="AI180" s="120"/>
      <c r="AJ180" s="121"/>
      <c r="AK180" s="121"/>
      <c r="AL180" s="122"/>
    </row>
    <row r="181">
      <c r="A181" s="108"/>
      <c r="B181" s="108"/>
      <c r="C181" s="90"/>
      <c r="D181" s="90"/>
      <c r="E181" s="90"/>
      <c r="F181" s="90"/>
      <c r="G181" s="90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8"/>
      <c r="S181" s="108"/>
      <c r="T181" s="108"/>
      <c r="U181" s="111"/>
      <c r="V181" s="108"/>
      <c r="W181" s="110"/>
      <c r="X181" s="108"/>
      <c r="Y181" s="108"/>
      <c r="Z181" s="108"/>
      <c r="AA181" s="108"/>
      <c r="AB181" s="108"/>
      <c r="AC181" s="108"/>
      <c r="AD181" s="108"/>
      <c r="AE181" s="119"/>
      <c r="AF181" s="120"/>
      <c r="AG181" s="120"/>
      <c r="AH181" s="120"/>
      <c r="AI181" s="120"/>
      <c r="AJ181" s="121"/>
      <c r="AK181" s="121"/>
      <c r="AL181" s="122"/>
    </row>
    <row r="182">
      <c r="A182" s="108"/>
      <c r="B182" s="108"/>
      <c r="C182" s="90"/>
      <c r="D182" s="90"/>
      <c r="E182" s="90"/>
      <c r="F182" s="90"/>
      <c r="G182" s="90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8"/>
      <c r="S182" s="108"/>
      <c r="T182" s="108"/>
      <c r="U182" s="111"/>
      <c r="V182" s="108"/>
      <c r="W182" s="110"/>
      <c r="X182" s="108"/>
      <c r="Y182" s="108"/>
      <c r="Z182" s="108"/>
      <c r="AA182" s="108"/>
      <c r="AB182" s="108"/>
      <c r="AC182" s="108"/>
      <c r="AD182" s="108"/>
      <c r="AE182" s="119"/>
      <c r="AF182" s="120"/>
      <c r="AG182" s="120"/>
      <c r="AH182" s="120"/>
      <c r="AI182" s="120"/>
      <c r="AJ182" s="121"/>
      <c r="AK182" s="121"/>
      <c r="AL182" s="122"/>
    </row>
    <row r="183">
      <c r="A183" s="108"/>
      <c r="B183" s="108"/>
      <c r="C183" s="90"/>
      <c r="D183" s="90"/>
      <c r="E183" s="90"/>
      <c r="F183" s="90"/>
      <c r="G183" s="90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8"/>
      <c r="S183" s="108"/>
      <c r="T183" s="108"/>
      <c r="U183" s="111"/>
      <c r="V183" s="108"/>
      <c r="W183" s="110"/>
      <c r="X183" s="108"/>
      <c r="Y183" s="108"/>
      <c r="Z183" s="108"/>
      <c r="AA183" s="108"/>
      <c r="AB183" s="108"/>
      <c r="AC183" s="108"/>
      <c r="AD183" s="108"/>
      <c r="AE183" s="119"/>
      <c r="AF183" s="120"/>
      <c r="AG183" s="120"/>
      <c r="AH183" s="120"/>
      <c r="AI183" s="120"/>
      <c r="AJ183" s="121"/>
      <c r="AK183" s="121"/>
      <c r="AL183" s="122"/>
    </row>
    <row r="184">
      <c r="A184" s="108"/>
      <c r="B184" s="108"/>
      <c r="C184" s="90"/>
      <c r="D184" s="90"/>
      <c r="E184" s="90"/>
      <c r="F184" s="90"/>
      <c r="G184" s="90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8"/>
      <c r="S184" s="108"/>
      <c r="T184" s="108"/>
      <c r="U184" s="111"/>
      <c r="V184" s="108"/>
      <c r="W184" s="110"/>
      <c r="X184" s="108"/>
      <c r="Y184" s="108"/>
      <c r="Z184" s="108"/>
      <c r="AA184" s="108"/>
      <c r="AB184" s="108"/>
      <c r="AC184" s="108"/>
      <c r="AD184" s="108"/>
      <c r="AE184" s="119"/>
      <c r="AF184" s="120"/>
      <c r="AG184" s="120"/>
      <c r="AH184" s="120"/>
      <c r="AI184" s="120"/>
      <c r="AJ184" s="121"/>
      <c r="AK184" s="121"/>
      <c r="AL184" s="122"/>
    </row>
    <row r="185">
      <c r="A185" s="108"/>
      <c r="B185" s="108"/>
      <c r="C185" s="90"/>
      <c r="D185" s="90"/>
      <c r="E185" s="90"/>
      <c r="F185" s="90"/>
      <c r="G185" s="90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8"/>
      <c r="S185" s="108"/>
      <c r="T185" s="108"/>
      <c r="U185" s="111"/>
      <c r="V185" s="108"/>
      <c r="W185" s="110"/>
      <c r="X185" s="108"/>
      <c r="Y185" s="108"/>
      <c r="Z185" s="108"/>
      <c r="AA185" s="108"/>
      <c r="AB185" s="108"/>
      <c r="AC185" s="108"/>
      <c r="AD185" s="108"/>
      <c r="AE185" s="119"/>
      <c r="AF185" s="120"/>
      <c r="AG185" s="120"/>
      <c r="AH185" s="120"/>
      <c r="AI185" s="120"/>
      <c r="AJ185" s="121"/>
      <c r="AK185" s="121"/>
      <c r="AL185" s="122"/>
    </row>
    <row r="186">
      <c r="A186" s="108"/>
      <c r="B186" s="108"/>
      <c r="C186" s="90"/>
      <c r="D186" s="90"/>
      <c r="E186" s="90"/>
      <c r="F186" s="90"/>
      <c r="G186" s="90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8"/>
      <c r="S186" s="108"/>
      <c r="T186" s="108"/>
      <c r="U186" s="111"/>
      <c r="V186" s="108"/>
      <c r="W186" s="110"/>
      <c r="X186" s="108"/>
      <c r="Y186" s="108"/>
      <c r="Z186" s="108"/>
      <c r="AA186" s="108"/>
      <c r="AB186" s="108"/>
      <c r="AC186" s="108"/>
      <c r="AD186" s="108"/>
      <c r="AE186" s="119"/>
      <c r="AF186" s="120"/>
      <c r="AG186" s="120"/>
      <c r="AH186" s="120"/>
      <c r="AI186" s="120"/>
      <c r="AJ186" s="121"/>
      <c r="AK186" s="121"/>
      <c r="AL186" s="122"/>
    </row>
    <row r="187">
      <c r="A187" s="108"/>
      <c r="B187" s="108"/>
      <c r="C187" s="90"/>
      <c r="D187" s="90"/>
      <c r="E187" s="90"/>
      <c r="F187" s="90"/>
      <c r="G187" s="90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8"/>
      <c r="S187" s="108"/>
      <c r="T187" s="108"/>
      <c r="U187" s="111"/>
      <c r="V187" s="108"/>
      <c r="W187" s="110"/>
      <c r="X187" s="108"/>
      <c r="Y187" s="108"/>
      <c r="Z187" s="108"/>
      <c r="AA187" s="108"/>
      <c r="AB187" s="108"/>
      <c r="AC187" s="108"/>
      <c r="AD187" s="108"/>
      <c r="AE187" s="119"/>
      <c r="AF187" s="120"/>
      <c r="AG187" s="120"/>
      <c r="AH187" s="120"/>
      <c r="AI187" s="120"/>
      <c r="AJ187" s="121"/>
      <c r="AK187" s="121"/>
      <c r="AL187" s="122"/>
    </row>
    <row r="188">
      <c r="A188" s="108"/>
      <c r="B188" s="108"/>
      <c r="C188" s="90"/>
      <c r="D188" s="90"/>
      <c r="E188" s="90"/>
      <c r="F188" s="90"/>
      <c r="G188" s="90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8"/>
      <c r="S188" s="108"/>
      <c r="T188" s="108"/>
      <c r="U188" s="111"/>
      <c r="V188" s="108"/>
      <c r="W188" s="110"/>
      <c r="X188" s="108"/>
      <c r="Y188" s="108"/>
      <c r="Z188" s="108"/>
      <c r="AA188" s="108"/>
      <c r="AB188" s="108"/>
      <c r="AC188" s="108"/>
      <c r="AD188" s="108"/>
      <c r="AE188" s="119"/>
      <c r="AF188" s="120"/>
      <c r="AG188" s="120"/>
      <c r="AH188" s="120"/>
      <c r="AI188" s="120"/>
      <c r="AJ188" s="121"/>
      <c r="AK188" s="121"/>
      <c r="AL188" s="122"/>
    </row>
    <row r="189">
      <c r="A189" s="108"/>
      <c r="B189" s="108"/>
      <c r="C189" s="90"/>
      <c r="D189" s="90"/>
      <c r="E189" s="90"/>
      <c r="F189" s="90"/>
      <c r="G189" s="90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8"/>
      <c r="S189" s="108"/>
      <c r="T189" s="108"/>
      <c r="U189" s="111"/>
      <c r="V189" s="108"/>
      <c r="W189" s="110"/>
      <c r="X189" s="108"/>
      <c r="Y189" s="108"/>
      <c r="Z189" s="108"/>
      <c r="AA189" s="108"/>
      <c r="AB189" s="108"/>
      <c r="AC189" s="108"/>
      <c r="AD189" s="108"/>
      <c r="AE189" s="119"/>
      <c r="AF189" s="120"/>
      <c r="AG189" s="120"/>
      <c r="AH189" s="120"/>
      <c r="AI189" s="120"/>
      <c r="AJ189" s="121"/>
      <c r="AK189" s="121"/>
      <c r="AL189" s="122"/>
    </row>
    <row r="190">
      <c r="A190" s="108"/>
      <c r="B190" s="108"/>
      <c r="C190" s="90"/>
      <c r="D190" s="90"/>
      <c r="E190" s="90"/>
      <c r="F190" s="90"/>
      <c r="G190" s="90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8"/>
      <c r="S190" s="108"/>
      <c r="T190" s="108"/>
      <c r="U190" s="111"/>
      <c r="V190" s="108"/>
      <c r="W190" s="110"/>
      <c r="X190" s="108"/>
      <c r="Y190" s="108"/>
      <c r="Z190" s="108"/>
      <c r="AA190" s="108"/>
      <c r="AB190" s="108"/>
      <c r="AC190" s="108"/>
      <c r="AD190" s="108"/>
      <c r="AE190" s="119"/>
      <c r="AF190" s="120"/>
      <c r="AG190" s="120"/>
      <c r="AH190" s="120"/>
      <c r="AI190" s="120"/>
      <c r="AJ190" s="121"/>
      <c r="AK190" s="121"/>
      <c r="AL190" s="122"/>
    </row>
    <row r="191">
      <c r="A191" s="108"/>
      <c r="B191" s="108"/>
      <c r="C191" s="90"/>
      <c r="D191" s="90"/>
      <c r="E191" s="90"/>
      <c r="F191" s="90"/>
      <c r="G191" s="90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8"/>
      <c r="S191" s="108"/>
      <c r="T191" s="108"/>
      <c r="U191" s="111"/>
      <c r="V191" s="108"/>
      <c r="W191" s="110"/>
      <c r="X191" s="108"/>
      <c r="Y191" s="108"/>
      <c r="Z191" s="108"/>
      <c r="AA191" s="108"/>
      <c r="AB191" s="108"/>
      <c r="AC191" s="108"/>
      <c r="AD191" s="108"/>
      <c r="AE191" s="119"/>
      <c r="AF191" s="120"/>
      <c r="AG191" s="120"/>
      <c r="AH191" s="120"/>
      <c r="AI191" s="120"/>
      <c r="AJ191" s="121"/>
      <c r="AK191" s="121"/>
      <c r="AL191" s="122"/>
    </row>
    <row r="192">
      <c r="A192" s="108"/>
      <c r="B192" s="108"/>
      <c r="C192" s="90"/>
      <c r="D192" s="90"/>
      <c r="E192" s="90"/>
      <c r="F192" s="90"/>
      <c r="G192" s="90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8"/>
      <c r="S192" s="108"/>
      <c r="T192" s="108"/>
      <c r="U192" s="111"/>
      <c r="V192" s="108"/>
      <c r="W192" s="110"/>
      <c r="X192" s="108"/>
      <c r="Y192" s="108"/>
      <c r="Z192" s="108"/>
      <c r="AA192" s="108"/>
      <c r="AB192" s="108"/>
      <c r="AC192" s="108"/>
      <c r="AD192" s="108"/>
      <c r="AE192" s="119"/>
      <c r="AF192" s="120"/>
      <c r="AG192" s="120"/>
      <c r="AH192" s="120"/>
      <c r="AI192" s="120"/>
      <c r="AJ192" s="121"/>
      <c r="AK192" s="121"/>
      <c r="AL192" s="122"/>
    </row>
    <row r="193">
      <c r="A193" s="108"/>
      <c r="B193" s="108"/>
      <c r="C193" s="90"/>
      <c r="D193" s="90"/>
      <c r="E193" s="90"/>
      <c r="F193" s="90"/>
      <c r="G193" s="90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8"/>
      <c r="S193" s="108"/>
      <c r="T193" s="108"/>
      <c r="U193" s="111"/>
      <c r="V193" s="108"/>
      <c r="W193" s="110"/>
      <c r="X193" s="108"/>
      <c r="Y193" s="108"/>
      <c r="Z193" s="108"/>
      <c r="AA193" s="108"/>
      <c r="AB193" s="108"/>
      <c r="AC193" s="108"/>
      <c r="AD193" s="108"/>
      <c r="AE193" s="119"/>
      <c r="AF193" s="120"/>
      <c r="AG193" s="120"/>
      <c r="AH193" s="120"/>
      <c r="AI193" s="120"/>
      <c r="AJ193" s="121"/>
      <c r="AK193" s="121"/>
      <c r="AL193" s="122"/>
    </row>
    <row r="194">
      <c r="A194" s="108"/>
      <c r="B194" s="108"/>
      <c r="C194" s="90"/>
      <c r="D194" s="90"/>
      <c r="E194" s="90"/>
      <c r="F194" s="90"/>
      <c r="G194" s="90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8"/>
      <c r="S194" s="108"/>
      <c r="T194" s="108"/>
      <c r="U194" s="111"/>
      <c r="V194" s="108"/>
      <c r="W194" s="110"/>
      <c r="X194" s="108"/>
      <c r="Y194" s="108"/>
      <c r="Z194" s="108"/>
      <c r="AA194" s="108"/>
      <c r="AB194" s="108"/>
      <c r="AC194" s="108"/>
      <c r="AD194" s="108"/>
      <c r="AE194" s="119"/>
      <c r="AF194" s="120"/>
      <c r="AG194" s="120"/>
      <c r="AH194" s="120"/>
      <c r="AI194" s="120"/>
      <c r="AJ194" s="121"/>
      <c r="AK194" s="121"/>
      <c r="AL194" s="122"/>
    </row>
    <row r="195">
      <c r="A195" s="108"/>
      <c r="B195" s="108"/>
      <c r="C195" s="90"/>
      <c r="D195" s="90"/>
      <c r="E195" s="90"/>
      <c r="F195" s="90"/>
      <c r="G195" s="90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8"/>
      <c r="S195" s="108"/>
      <c r="T195" s="108"/>
      <c r="U195" s="111"/>
      <c r="V195" s="108"/>
      <c r="W195" s="110"/>
      <c r="X195" s="108"/>
      <c r="Y195" s="108"/>
      <c r="Z195" s="108"/>
      <c r="AA195" s="108"/>
      <c r="AB195" s="108"/>
      <c r="AC195" s="108"/>
      <c r="AD195" s="108"/>
      <c r="AE195" s="119"/>
      <c r="AF195" s="120"/>
      <c r="AG195" s="120"/>
      <c r="AH195" s="120"/>
      <c r="AI195" s="120"/>
      <c r="AJ195" s="121"/>
      <c r="AK195" s="121"/>
      <c r="AL195" s="122"/>
    </row>
    <row r="196">
      <c r="A196" s="108"/>
      <c r="B196" s="108"/>
      <c r="C196" s="90"/>
      <c r="D196" s="90"/>
      <c r="E196" s="90"/>
      <c r="F196" s="90"/>
      <c r="G196" s="90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8"/>
      <c r="S196" s="108"/>
      <c r="T196" s="108"/>
      <c r="U196" s="111"/>
      <c r="V196" s="108"/>
      <c r="W196" s="110"/>
      <c r="X196" s="108"/>
      <c r="Y196" s="108"/>
      <c r="Z196" s="108"/>
      <c r="AA196" s="108"/>
      <c r="AB196" s="108"/>
      <c r="AC196" s="108"/>
      <c r="AD196" s="108"/>
      <c r="AE196" s="119"/>
      <c r="AF196" s="120"/>
      <c r="AG196" s="120"/>
      <c r="AH196" s="120"/>
      <c r="AI196" s="120"/>
      <c r="AJ196" s="121"/>
      <c r="AK196" s="121"/>
      <c r="AL196" s="122"/>
    </row>
    <row r="197">
      <c r="A197" s="108"/>
      <c r="B197" s="108"/>
      <c r="C197" s="90"/>
      <c r="D197" s="90"/>
      <c r="E197" s="90"/>
      <c r="F197" s="90"/>
      <c r="G197" s="90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8"/>
      <c r="S197" s="108"/>
      <c r="T197" s="108"/>
      <c r="U197" s="111"/>
      <c r="V197" s="108"/>
      <c r="W197" s="110"/>
      <c r="X197" s="108"/>
      <c r="Y197" s="108"/>
      <c r="Z197" s="108"/>
      <c r="AA197" s="108"/>
      <c r="AB197" s="108"/>
      <c r="AC197" s="108"/>
      <c r="AD197" s="108"/>
      <c r="AE197" s="119"/>
      <c r="AF197" s="120"/>
      <c r="AG197" s="120"/>
      <c r="AH197" s="120"/>
      <c r="AI197" s="120"/>
      <c r="AJ197" s="121"/>
      <c r="AK197" s="121"/>
      <c r="AL197" s="122"/>
    </row>
    <row r="198">
      <c r="A198" s="108"/>
      <c r="B198" s="108"/>
      <c r="C198" s="90"/>
      <c r="D198" s="90"/>
      <c r="E198" s="90"/>
      <c r="F198" s="90"/>
      <c r="G198" s="90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8"/>
      <c r="S198" s="108"/>
      <c r="T198" s="108"/>
      <c r="U198" s="111"/>
      <c r="V198" s="108"/>
      <c r="W198" s="110"/>
      <c r="X198" s="108"/>
      <c r="Y198" s="108"/>
      <c r="Z198" s="108"/>
      <c r="AA198" s="108"/>
      <c r="AB198" s="108"/>
      <c r="AC198" s="108"/>
      <c r="AD198" s="108"/>
      <c r="AE198" s="119"/>
      <c r="AF198" s="120"/>
      <c r="AG198" s="120"/>
      <c r="AH198" s="120"/>
      <c r="AI198" s="120"/>
      <c r="AJ198" s="121"/>
      <c r="AK198" s="121"/>
      <c r="AL198" s="122"/>
    </row>
    <row r="199">
      <c r="A199" s="108"/>
      <c r="B199" s="108"/>
      <c r="C199" s="90"/>
      <c r="D199" s="90"/>
      <c r="E199" s="90"/>
      <c r="F199" s="90"/>
      <c r="G199" s="90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8"/>
      <c r="S199" s="108"/>
      <c r="T199" s="108"/>
      <c r="U199" s="111"/>
      <c r="V199" s="108"/>
      <c r="W199" s="110"/>
      <c r="X199" s="108"/>
      <c r="Y199" s="108"/>
      <c r="Z199" s="108"/>
      <c r="AA199" s="108"/>
      <c r="AB199" s="108"/>
      <c r="AC199" s="108"/>
      <c r="AD199" s="108"/>
      <c r="AE199" s="119"/>
      <c r="AF199" s="120"/>
      <c r="AG199" s="120"/>
      <c r="AH199" s="120"/>
      <c r="AI199" s="120"/>
      <c r="AJ199" s="121"/>
      <c r="AK199" s="121"/>
      <c r="AL199" s="122"/>
    </row>
    <row r="200">
      <c r="A200" s="108"/>
      <c r="B200" s="108"/>
      <c r="C200" s="90"/>
      <c r="D200" s="90"/>
      <c r="E200" s="90"/>
      <c r="F200" s="90"/>
      <c r="G200" s="90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8"/>
      <c r="S200" s="108"/>
      <c r="T200" s="108"/>
      <c r="U200" s="111"/>
      <c r="V200" s="108"/>
      <c r="W200" s="110"/>
      <c r="X200" s="108"/>
      <c r="Y200" s="108"/>
      <c r="Z200" s="108"/>
      <c r="AA200" s="108"/>
      <c r="AB200" s="108"/>
      <c r="AC200" s="108"/>
      <c r="AD200" s="108"/>
      <c r="AE200" s="119"/>
      <c r="AF200" s="120"/>
      <c r="AG200" s="120"/>
      <c r="AH200" s="120"/>
      <c r="AI200" s="120"/>
      <c r="AJ200" s="121"/>
      <c r="AK200" s="121"/>
      <c r="AL200" s="122"/>
    </row>
    <row r="201">
      <c r="C201" s="90"/>
      <c r="D201" s="90"/>
      <c r="E201" s="90"/>
      <c r="F201" s="90"/>
      <c r="G201" s="90"/>
      <c r="H201" s="123"/>
      <c r="I201" s="123"/>
      <c r="J201" s="123"/>
      <c r="K201" s="123"/>
      <c r="L201" s="123"/>
      <c r="M201" s="123"/>
      <c r="N201" s="123"/>
      <c r="O201" s="123"/>
      <c r="P201" s="123"/>
      <c r="Q201" s="123"/>
      <c r="U201" s="124"/>
      <c r="W201" s="125"/>
      <c r="AJ201" s="126"/>
      <c r="AK201" s="126"/>
      <c r="AL201" s="122"/>
    </row>
    <row r="202">
      <c r="C202" s="90"/>
      <c r="D202" s="90"/>
      <c r="E202" s="90"/>
      <c r="F202" s="90"/>
      <c r="G202" s="90"/>
      <c r="H202" s="123"/>
      <c r="I202" s="123"/>
      <c r="J202" s="123"/>
      <c r="K202" s="123"/>
      <c r="L202" s="123"/>
      <c r="M202" s="123"/>
      <c r="N202" s="123"/>
      <c r="O202" s="123"/>
      <c r="P202" s="123"/>
      <c r="Q202" s="123"/>
      <c r="U202" s="124"/>
      <c r="W202" s="125"/>
      <c r="AJ202" s="126"/>
      <c r="AK202" s="126"/>
      <c r="AL202" s="122"/>
    </row>
    <row r="203">
      <c r="C203" s="90"/>
      <c r="D203" s="90"/>
      <c r="E203" s="90"/>
      <c r="F203" s="90"/>
      <c r="G203" s="90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U203" s="124"/>
      <c r="W203" s="125"/>
      <c r="AJ203" s="126"/>
      <c r="AK203" s="126"/>
      <c r="AL203" s="122"/>
    </row>
    <row r="204">
      <c r="C204" s="90"/>
      <c r="D204" s="90"/>
      <c r="E204" s="90"/>
      <c r="F204" s="90"/>
      <c r="G204" s="90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U204" s="124"/>
      <c r="W204" s="125"/>
      <c r="AJ204" s="126"/>
      <c r="AK204" s="126"/>
      <c r="AL204" s="122"/>
    </row>
    <row r="205">
      <c r="C205" s="90"/>
      <c r="D205" s="90"/>
      <c r="E205" s="90"/>
      <c r="F205" s="90"/>
      <c r="G205" s="90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U205" s="124"/>
      <c r="W205" s="125"/>
      <c r="AJ205" s="126"/>
      <c r="AK205" s="126"/>
      <c r="AL205" s="122"/>
    </row>
    <row r="206">
      <c r="C206" s="90"/>
      <c r="D206" s="90"/>
      <c r="E206" s="90"/>
      <c r="F206" s="90"/>
      <c r="G206" s="90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U206" s="124"/>
      <c r="W206" s="125"/>
      <c r="AJ206" s="126"/>
      <c r="AK206" s="126"/>
      <c r="AL206" s="122"/>
    </row>
    <row r="207">
      <c r="C207" s="90"/>
      <c r="D207" s="90"/>
      <c r="E207" s="90"/>
      <c r="F207" s="90"/>
      <c r="G207" s="90"/>
      <c r="H207" s="123"/>
      <c r="I207" s="123"/>
      <c r="J207" s="123"/>
      <c r="K207" s="123"/>
      <c r="L207" s="123"/>
      <c r="M207" s="123"/>
      <c r="N207" s="123"/>
      <c r="O207" s="123"/>
      <c r="P207" s="123"/>
      <c r="Q207" s="123"/>
      <c r="U207" s="124"/>
      <c r="W207" s="125"/>
      <c r="AJ207" s="126"/>
      <c r="AK207" s="126"/>
      <c r="AL207" s="122"/>
    </row>
    <row r="208">
      <c r="C208" s="90"/>
      <c r="D208" s="90"/>
      <c r="E208" s="90"/>
      <c r="F208" s="90"/>
      <c r="G208" s="90"/>
      <c r="H208" s="123"/>
      <c r="I208" s="123"/>
      <c r="J208" s="123"/>
      <c r="K208" s="123"/>
      <c r="L208" s="123"/>
      <c r="M208" s="123"/>
      <c r="N208" s="123"/>
      <c r="O208" s="123"/>
      <c r="P208" s="123"/>
      <c r="Q208" s="123"/>
      <c r="U208" s="124"/>
      <c r="W208" s="125"/>
      <c r="AJ208" s="126"/>
      <c r="AK208" s="126"/>
      <c r="AL208" s="122"/>
    </row>
    <row r="209">
      <c r="C209" s="90"/>
      <c r="D209" s="90"/>
      <c r="E209" s="90"/>
      <c r="F209" s="90"/>
      <c r="G209" s="90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U209" s="124"/>
      <c r="W209" s="125"/>
      <c r="AJ209" s="126"/>
      <c r="AK209" s="126"/>
      <c r="AL209" s="122"/>
    </row>
    <row r="210">
      <c r="C210" s="90"/>
      <c r="D210" s="90"/>
      <c r="E210" s="90"/>
      <c r="F210" s="90"/>
      <c r="G210" s="90"/>
      <c r="H210" s="123"/>
      <c r="I210" s="123"/>
      <c r="J210" s="123"/>
      <c r="K210" s="123"/>
      <c r="L210" s="123"/>
      <c r="M210" s="123"/>
      <c r="N210" s="123"/>
      <c r="O210" s="123"/>
      <c r="P210" s="123"/>
      <c r="Q210" s="123"/>
      <c r="U210" s="124"/>
      <c r="W210" s="125"/>
      <c r="AJ210" s="126"/>
      <c r="AK210" s="126"/>
      <c r="AL210" s="122"/>
    </row>
    <row r="211">
      <c r="C211" s="90"/>
      <c r="D211" s="90"/>
      <c r="E211" s="90"/>
      <c r="F211" s="90"/>
      <c r="G211" s="90"/>
      <c r="H211" s="123"/>
      <c r="I211" s="123"/>
      <c r="J211" s="123"/>
      <c r="K211" s="123"/>
      <c r="L211" s="123"/>
      <c r="M211" s="123"/>
      <c r="N211" s="123"/>
      <c r="O211" s="123"/>
      <c r="P211" s="123"/>
      <c r="Q211" s="123"/>
      <c r="U211" s="124"/>
      <c r="W211" s="125"/>
      <c r="AJ211" s="126"/>
      <c r="AK211" s="126"/>
      <c r="AL211" s="122"/>
    </row>
    <row r="212">
      <c r="C212" s="90"/>
      <c r="D212" s="90"/>
      <c r="E212" s="90"/>
      <c r="F212" s="90"/>
      <c r="G212" s="90"/>
      <c r="H212" s="123"/>
      <c r="I212" s="123"/>
      <c r="J212" s="123"/>
      <c r="K212" s="123"/>
      <c r="L212" s="123"/>
      <c r="M212" s="123"/>
      <c r="N212" s="123"/>
      <c r="O212" s="123"/>
      <c r="P212" s="123"/>
      <c r="Q212" s="123"/>
      <c r="U212" s="124"/>
      <c r="W212" s="125"/>
      <c r="AJ212" s="126"/>
      <c r="AK212" s="126"/>
      <c r="AL212" s="122"/>
    </row>
    <row r="213">
      <c r="C213" s="90"/>
      <c r="D213" s="90"/>
      <c r="E213" s="90"/>
      <c r="F213" s="90"/>
      <c r="G213" s="90"/>
      <c r="H213" s="123"/>
      <c r="I213" s="123"/>
      <c r="J213" s="123"/>
      <c r="K213" s="123"/>
      <c r="L213" s="123"/>
      <c r="M213" s="123"/>
      <c r="N213" s="123"/>
      <c r="O213" s="123"/>
      <c r="P213" s="123"/>
      <c r="Q213" s="123"/>
      <c r="U213" s="124"/>
      <c r="W213" s="125"/>
      <c r="AJ213" s="126"/>
      <c r="AK213" s="126"/>
      <c r="AL213" s="122"/>
    </row>
    <row r="214">
      <c r="C214" s="90"/>
      <c r="D214" s="90"/>
      <c r="E214" s="90"/>
      <c r="F214" s="90"/>
      <c r="G214" s="90"/>
      <c r="H214" s="123"/>
      <c r="I214" s="123"/>
      <c r="J214" s="123"/>
      <c r="K214" s="123"/>
      <c r="L214" s="123"/>
      <c r="M214" s="123"/>
      <c r="N214" s="123"/>
      <c r="O214" s="123"/>
      <c r="P214" s="123"/>
      <c r="Q214" s="123"/>
      <c r="U214" s="124"/>
      <c r="W214" s="125"/>
      <c r="AJ214" s="126"/>
      <c r="AK214" s="126"/>
      <c r="AL214" s="122"/>
    </row>
    <row r="215">
      <c r="C215" s="90"/>
      <c r="D215" s="90"/>
      <c r="E215" s="90"/>
      <c r="F215" s="90"/>
      <c r="G215" s="90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U215" s="124"/>
      <c r="W215" s="125"/>
      <c r="AJ215" s="126"/>
      <c r="AK215" s="126"/>
      <c r="AL215" s="122"/>
    </row>
    <row r="216">
      <c r="C216" s="90"/>
      <c r="D216" s="90"/>
      <c r="E216" s="90"/>
      <c r="F216" s="90"/>
      <c r="G216" s="90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U216" s="124"/>
      <c r="W216" s="125"/>
      <c r="AJ216" s="126"/>
      <c r="AK216" s="126"/>
      <c r="AL216" s="122"/>
    </row>
    <row r="217">
      <c r="C217" s="90"/>
      <c r="D217" s="90"/>
      <c r="E217" s="90"/>
      <c r="F217" s="90"/>
      <c r="G217" s="90"/>
      <c r="H217" s="123"/>
      <c r="I217" s="123"/>
      <c r="J217" s="123"/>
      <c r="K217" s="123"/>
      <c r="L217" s="123"/>
      <c r="M217" s="123"/>
      <c r="N217" s="123"/>
      <c r="O217" s="123"/>
      <c r="P217" s="123"/>
      <c r="Q217" s="123"/>
      <c r="U217" s="124"/>
      <c r="W217" s="125"/>
      <c r="AJ217" s="126"/>
      <c r="AK217" s="126"/>
      <c r="AL217" s="122"/>
    </row>
    <row r="218">
      <c r="C218" s="90"/>
      <c r="D218" s="90"/>
      <c r="E218" s="90"/>
      <c r="F218" s="90"/>
      <c r="G218" s="90"/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U218" s="124"/>
      <c r="W218" s="125"/>
      <c r="AJ218" s="126"/>
      <c r="AK218" s="126"/>
      <c r="AL218" s="122"/>
    </row>
    <row r="219">
      <c r="C219" s="90"/>
      <c r="D219" s="90"/>
      <c r="E219" s="90"/>
      <c r="F219" s="90"/>
      <c r="G219" s="90"/>
      <c r="H219" s="123"/>
      <c r="I219" s="123"/>
      <c r="J219" s="123"/>
      <c r="K219" s="123"/>
      <c r="L219" s="123"/>
      <c r="M219" s="123"/>
      <c r="N219" s="123"/>
      <c r="O219" s="123"/>
      <c r="P219" s="123"/>
      <c r="Q219" s="123"/>
      <c r="U219" s="124"/>
      <c r="W219" s="125"/>
      <c r="AJ219" s="126"/>
      <c r="AK219" s="126"/>
      <c r="AL219" s="122"/>
    </row>
    <row r="220">
      <c r="C220" s="90"/>
      <c r="D220" s="90"/>
      <c r="E220" s="90"/>
      <c r="F220" s="90"/>
      <c r="G220" s="90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U220" s="124"/>
      <c r="W220" s="125"/>
      <c r="AJ220" s="126"/>
      <c r="AK220" s="126"/>
      <c r="AL220" s="122"/>
    </row>
    <row r="221">
      <c r="C221" s="90"/>
      <c r="D221" s="90"/>
      <c r="E221" s="90"/>
      <c r="F221" s="90"/>
      <c r="G221" s="90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U221" s="124"/>
      <c r="W221" s="125"/>
      <c r="AJ221" s="126"/>
      <c r="AK221" s="126"/>
      <c r="AL221" s="122"/>
    </row>
    <row r="222">
      <c r="C222" s="90"/>
      <c r="D222" s="90"/>
      <c r="E222" s="90"/>
      <c r="F222" s="90"/>
      <c r="G222" s="90"/>
      <c r="H222" s="123"/>
      <c r="I222" s="123"/>
      <c r="J222" s="123"/>
      <c r="K222" s="123"/>
      <c r="L222" s="123"/>
      <c r="M222" s="123"/>
      <c r="N222" s="123"/>
      <c r="O222" s="123"/>
      <c r="P222" s="123"/>
      <c r="Q222" s="123"/>
      <c r="U222" s="124"/>
      <c r="W222" s="125"/>
      <c r="AJ222" s="126"/>
      <c r="AK222" s="126"/>
      <c r="AL222" s="122"/>
    </row>
    <row r="223">
      <c r="C223" s="90"/>
      <c r="D223" s="90"/>
      <c r="E223" s="90"/>
      <c r="F223" s="90"/>
      <c r="G223" s="90"/>
      <c r="H223" s="123"/>
      <c r="I223" s="123"/>
      <c r="J223" s="123"/>
      <c r="K223" s="123"/>
      <c r="L223" s="123"/>
      <c r="M223" s="123"/>
      <c r="N223" s="123"/>
      <c r="O223" s="123"/>
      <c r="P223" s="123"/>
      <c r="Q223" s="123"/>
      <c r="U223" s="124"/>
      <c r="W223" s="125"/>
      <c r="AJ223" s="126"/>
      <c r="AK223" s="126"/>
      <c r="AL223" s="122"/>
    </row>
    <row r="224">
      <c r="C224" s="90"/>
      <c r="D224" s="90"/>
      <c r="E224" s="90"/>
      <c r="F224" s="90"/>
      <c r="G224" s="90"/>
      <c r="H224" s="123"/>
      <c r="I224" s="123"/>
      <c r="J224" s="123"/>
      <c r="K224" s="123"/>
      <c r="L224" s="123"/>
      <c r="M224" s="123"/>
      <c r="N224" s="123"/>
      <c r="O224" s="123"/>
      <c r="P224" s="123"/>
      <c r="Q224" s="123"/>
      <c r="U224" s="124"/>
      <c r="W224" s="125"/>
      <c r="AJ224" s="126"/>
      <c r="AK224" s="126"/>
      <c r="AL224" s="122"/>
    </row>
    <row r="225">
      <c r="C225" s="90"/>
      <c r="D225" s="90"/>
      <c r="E225" s="90"/>
      <c r="F225" s="90"/>
      <c r="G225" s="90"/>
      <c r="H225" s="123"/>
      <c r="I225" s="123"/>
      <c r="J225" s="123"/>
      <c r="K225" s="123"/>
      <c r="L225" s="123"/>
      <c r="M225" s="123"/>
      <c r="N225" s="123"/>
      <c r="O225" s="123"/>
      <c r="P225" s="123"/>
      <c r="Q225" s="123"/>
      <c r="U225" s="124"/>
      <c r="W225" s="125"/>
      <c r="AJ225" s="126"/>
      <c r="AK225" s="126"/>
      <c r="AL225" s="122"/>
    </row>
    <row r="226">
      <c r="C226" s="90"/>
      <c r="D226" s="90"/>
      <c r="E226" s="90"/>
      <c r="F226" s="90"/>
      <c r="G226" s="90"/>
      <c r="H226" s="123"/>
      <c r="I226" s="123"/>
      <c r="J226" s="123"/>
      <c r="K226" s="123"/>
      <c r="L226" s="123"/>
      <c r="M226" s="123"/>
      <c r="N226" s="123"/>
      <c r="O226" s="123"/>
      <c r="P226" s="123"/>
      <c r="Q226" s="123"/>
      <c r="U226" s="124"/>
      <c r="W226" s="125"/>
      <c r="AJ226" s="126"/>
      <c r="AK226" s="126"/>
      <c r="AL226" s="122"/>
    </row>
    <row r="227">
      <c r="C227" s="90"/>
      <c r="D227" s="90"/>
      <c r="E227" s="90"/>
      <c r="F227" s="90"/>
      <c r="G227" s="90"/>
      <c r="H227" s="123"/>
      <c r="I227" s="123"/>
      <c r="J227" s="123"/>
      <c r="K227" s="123"/>
      <c r="L227" s="123"/>
      <c r="M227" s="123"/>
      <c r="N227" s="123"/>
      <c r="O227" s="123"/>
      <c r="P227" s="123"/>
      <c r="Q227" s="123"/>
      <c r="U227" s="124"/>
      <c r="W227" s="125"/>
      <c r="AJ227" s="126"/>
      <c r="AK227" s="126"/>
      <c r="AL227" s="122"/>
    </row>
    <row r="228">
      <c r="C228" s="90"/>
      <c r="D228" s="90"/>
      <c r="E228" s="90"/>
      <c r="F228" s="90"/>
      <c r="G228" s="90"/>
      <c r="H228" s="123"/>
      <c r="I228" s="123"/>
      <c r="J228" s="123"/>
      <c r="K228" s="123"/>
      <c r="L228" s="123"/>
      <c r="M228" s="123"/>
      <c r="N228" s="123"/>
      <c r="O228" s="123"/>
      <c r="P228" s="123"/>
      <c r="Q228" s="123"/>
      <c r="U228" s="124"/>
      <c r="W228" s="125"/>
      <c r="AJ228" s="126"/>
      <c r="AK228" s="126"/>
      <c r="AL228" s="122"/>
    </row>
    <row r="229">
      <c r="C229" s="90"/>
      <c r="D229" s="90"/>
      <c r="E229" s="90"/>
      <c r="F229" s="90"/>
      <c r="G229" s="90"/>
      <c r="H229" s="123"/>
      <c r="I229" s="123"/>
      <c r="J229" s="123"/>
      <c r="K229" s="123"/>
      <c r="L229" s="123"/>
      <c r="M229" s="123"/>
      <c r="N229" s="123"/>
      <c r="O229" s="123"/>
      <c r="P229" s="123"/>
      <c r="Q229" s="123"/>
      <c r="U229" s="124"/>
      <c r="W229" s="125"/>
      <c r="AJ229" s="126"/>
      <c r="AK229" s="126"/>
      <c r="AL229" s="122"/>
    </row>
    <row r="230">
      <c r="C230" s="90"/>
      <c r="D230" s="90"/>
      <c r="E230" s="90"/>
      <c r="F230" s="90"/>
      <c r="G230" s="90"/>
      <c r="H230" s="123"/>
      <c r="I230" s="123"/>
      <c r="J230" s="123"/>
      <c r="K230" s="123"/>
      <c r="L230" s="123"/>
      <c r="M230" s="123"/>
      <c r="N230" s="123"/>
      <c r="O230" s="123"/>
      <c r="P230" s="123"/>
      <c r="Q230" s="123"/>
      <c r="U230" s="124"/>
      <c r="W230" s="125"/>
      <c r="AJ230" s="126"/>
      <c r="AK230" s="126"/>
      <c r="AL230" s="122"/>
    </row>
    <row r="231">
      <c r="C231" s="90"/>
      <c r="D231" s="90"/>
      <c r="E231" s="90"/>
      <c r="F231" s="90"/>
      <c r="G231" s="90"/>
      <c r="H231" s="123"/>
      <c r="I231" s="123"/>
      <c r="J231" s="123"/>
      <c r="K231" s="123"/>
      <c r="L231" s="123"/>
      <c r="M231" s="123"/>
      <c r="N231" s="123"/>
      <c r="O231" s="123"/>
      <c r="P231" s="123"/>
      <c r="Q231" s="123"/>
      <c r="U231" s="124"/>
      <c r="W231" s="125"/>
      <c r="AJ231" s="126"/>
      <c r="AK231" s="126"/>
      <c r="AL231" s="122"/>
    </row>
    <row r="232">
      <c r="C232" s="90"/>
      <c r="D232" s="90"/>
      <c r="E232" s="90"/>
      <c r="F232" s="90"/>
      <c r="G232" s="90"/>
      <c r="H232" s="123"/>
      <c r="I232" s="123"/>
      <c r="J232" s="123"/>
      <c r="K232" s="123"/>
      <c r="L232" s="123"/>
      <c r="M232" s="123"/>
      <c r="N232" s="123"/>
      <c r="O232" s="123"/>
      <c r="P232" s="123"/>
      <c r="Q232" s="123"/>
      <c r="U232" s="124"/>
      <c r="W232" s="125"/>
      <c r="AJ232" s="126"/>
      <c r="AK232" s="126"/>
      <c r="AL232" s="122"/>
    </row>
    <row r="233">
      <c r="C233" s="90"/>
      <c r="D233" s="90"/>
      <c r="E233" s="90"/>
      <c r="F233" s="90"/>
      <c r="G233" s="90"/>
      <c r="H233" s="123"/>
      <c r="I233" s="123"/>
      <c r="J233" s="123"/>
      <c r="K233" s="123"/>
      <c r="L233" s="123"/>
      <c r="M233" s="123"/>
      <c r="N233" s="123"/>
      <c r="O233" s="123"/>
      <c r="P233" s="123"/>
      <c r="Q233" s="123"/>
      <c r="U233" s="124"/>
      <c r="W233" s="125"/>
      <c r="AJ233" s="126"/>
      <c r="AK233" s="126"/>
      <c r="AL233" s="122"/>
    </row>
    <row r="234">
      <c r="C234" s="90"/>
      <c r="D234" s="90"/>
      <c r="E234" s="90"/>
      <c r="F234" s="90"/>
      <c r="G234" s="90"/>
      <c r="H234" s="123"/>
      <c r="I234" s="123"/>
      <c r="J234" s="123"/>
      <c r="K234" s="123"/>
      <c r="L234" s="123"/>
      <c r="M234" s="123"/>
      <c r="N234" s="123"/>
      <c r="O234" s="123"/>
      <c r="P234" s="123"/>
      <c r="Q234" s="123"/>
      <c r="U234" s="124"/>
      <c r="W234" s="125"/>
      <c r="AJ234" s="126"/>
      <c r="AK234" s="126"/>
      <c r="AL234" s="122"/>
    </row>
    <row r="235">
      <c r="C235" s="90"/>
      <c r="D235" s="90"/>
      <c r="E235" s="90"/>
      <c r="F235" s="90"/>
      <c r="G235" s="90"/>
      <c r="H235" s="123"/>
      <c r="I235" s="123"/>
      <c r="J235" s="123"/>
      <c r="K235" s="123"/>
      <c r="L235" s="123"/>
      <c r="M235" s="123"/>
      <c r="N235" s="123"/>
      <c r="O235" s="123"/>
      <c r="P235" s="123"/>
      <c r="Q235" s="123"/>
      <c r="U235" s="124"/>
      <c r="W235" s="125"/>
      <c r="AJ235" s="126"/>
      <c r="AK235" s="126"/>
      <c r="AL235" s="122"/>
    </row>
    <row r="236">
      <c r="C236" s="90"/>
      <c r="D236" s="90"/>
      <c r="E236" s="90"/>
      <c r="F236" s="90"/>
      <c r="G236" s="90"/>
      <c r="H236" s="123"/>
      <c r="I236" s="123"/>
      <c r="J236" s="123"/>
      <c r="K236" s="123"/>
      <c r="L236" s="123"/>
      <c r="M236" s="123"/>
      <c r="N236" s="123"/>
      <c r="O236" s="123"/>
      <c r="P236" s="123"/>
      <c r="Q236" s="123"/>
      <c r="U236" s="124"/>
      <c r="W236" s="125"/>
      <c r="AJ236" s="126"/>
      <c r="AK236" s="126"/>
      <c r="AL236" s="122"/>
    </row>
    <row r="237">
      <c r="C237" s="90"/>
      <c r="D237" s="90"/>
      <c r="E237" s="90"/>
      <c r="F237" s="90"/>
      <c r="G237" s="90"/>
      <c r="H237" s="123"/>
      <c r="I237" s="123"/>
      <c r="J237" s="123"/>
      <c r="K237" s="123"/>
      <c r="L237" s="123"/>
      <c r="M237" s="123"/>
      <c r="N237" s="123"/>
      <c r="O237" s="123"/>
      <c r="P237" s="123"/>
      <c r="Q237" s="123"/>
      <c r="U237" s="124"/>
      <c r="W237" s="125"/>
      <c r="AJ237" s="126"/>
      <c r="AK237" s="126"/>
      <c r="AL237" s="122"/>
    </row>
    <row r="238">
      <c r="C238" s="90"/>
      <c r="D238" s="90"/>
      <c r="E238" s="90"/>
      <c r="F238" s="90"/>
      <c r="G238" s="90"/>
      <c r="H238" s="123"/>
      <c r="I238" s="123"/>
      <c r="J238" s="123"/>
      <c r="K238" s="123"/>
      <c r="L238" s="123"/>
      <c r="M238" s="123"/>
      <c r="N238" s="123"/>
      <c r="O238" s="123"/>
      <c r="P238" s="123"/>
      <c r="Q238" s="123"/>
      <c r="U238" s="124"/>
      <c r="W238" s="125"/>
      <c r="AJ238" s="126"/>
      <c r="AK238" s="126"/>
      <c r="AL238" s="122"/>
    </row>
    <row r="239">
      <c r="C239" s="90"/>
      <c r="D239" s="90"/>
      <c r="E239" s="90"/>
      <c r="F239" s="90"/>
      <c r="G239" s="90"/>
      <c r="H239" s="123"/>
      <c r="I239" s="123"/>
      <c r="J239" s="123"/>
      <c r="K239" s="123"/>
      <c r="L239" s="123"/>
      <c r="M239" s="123"/>
      <c r="N239" s="123"/>
      <c r="O239" s="123"/>
      <c r="P239" s="123"/>
      <c r="Q239" s="123"/>
      <c r="U239" s="124"/>
      <c r="W239" s="125"/>
      <c r="AJ239" s="126"/>
      <c r="AK239" s="126"/>
      <c r="AL239" s="122"/>
    </row>
    <row r="240">
      <c r="C240" s="90"/>
      <c r="D240" s="90"/>
      <c r="E240" s="90"/>
      <c r="F240" s="90"/>
      <c r="G240" s="90"/>
      <c r="H240" s="123"/>
      <c r="I240" s="123"/>
      <c r="J240" s="123"/>
      <c r="K240" s="123"/>
      <c r="L240" s="123"/>
      <c r="M240" s="123"/>
      <c r="N240" s="123"/>
      <c r="O240" s="123"/>
      <c r="P240" s="123"/>
      <c r="Q240" s="123"/>
      <c r="U240" s="124"/>
      <c r="W240" s="125"/>
      <c r="AJ240" s="126"/>
      <c r="AK240" s="126"/>
      <c r="AL240" s="122"/>
    </row>
    <row r="241">
      <c r="C241" s="90"/>
      <c r="D241" s="90"/>
      <c r="E241" s="90"/>
      <c r="F241" s="90"/>
      <c r="G241" s="90"/>
      <c r="H241" s="123"/>
      <c r="I241" s="123"/>
      <c r="J241" s="123"/>
      <c r="K241" s="123"/>
      <c r="L241" s="123"/>
      <c r="M241" s="123"/>
      <c r="N241" s="123"/>
      <c r="O241" s="123"/>
      <c r="P241" s="123"/>
      <c r="Q241" s="123"/>
      <c r="U241" s="124"/>
      <c r="W241" s="125"/>
      <c r="AJ241" s="126"/>
      <c r="AK241" s="126"/>
      <c r="AL241" s="122"/>
    </row>
    <row r="242">
      <c r="C242" s="90"/>
      <c r="D242" s="90"/>
      <c r="E242" s="90"/>
      <c r="F242" s="90"/>
      <c r="G242" s="90"/>
      <c r="H242" s="123"/>
      <c r="I242" s="123"/>
      <c r="J242" s="123"/>
      <c r="K242" s="123"/>
      <c r="L242" s="123"/>
      <c r="M242" s="123"/>
      <c r="N242" s="123"/>
      <c r="O242" s="123"/>
      <c r="P242" s="123"/>
      <c r="Q242" s="123"/>
      <c r="U242" s="124"/>
      <c r="W242" s="125"/>
      <c r="AJ242" s="126"/>
      <c r="AK242" s="126"/>
      <c r="AL242" s="122"/>
    </row>
    <row r="243">
      <c r="C243" s="90"/>
      <c r="D243" s="90"/>
      <c r="E243" s="90"/>
      <c r="F243" s="90"/>
      <c r="G243" s="90"/>
      <c r="H243" s="123"/>
      <c r="I243" s="123"/>
      <c r="J243" s="123"/>
      <c r="K243" s="123"/>
      <c r="L243" s="123"/>
      <c r="M243" s="123"/>
      <c r="N243" s="123"/>
      <c r="O243" s="123"/>
      <c r="P243" s="123"/>
      <c r="Q243" s="123"/>
      <c r="U243" s="124"/>
      <c r="W243" s="125"/>
      <c r="AJ243" s="126"/>
      <c r="AK243" s="126"/>
      <c r="AL243" s="122"/>
    </row>
    <row r="244">
      <c r="C244" s="90"/>
      <c r="D244" s="90"/>
      <c r="E244" s="90"/>
      <c r="F244" s="90"/>
      <c r="G244" s="90"/>
      <c r="H244" s="123"/>
      <c r="I244" s="123"/>
      <c r="J244" s="123"/>
      <c r="K244" s="123"/>
      <c r="L244" s="123"/>
      <c r="M244" s="123"/>
      <c r="N244" s="123"/>
      <c r="O244" s="123"/>
      <c r="P244" s="123"/>
      <c r="Q244" s="123"/>
      <c r="U244" s="124"/>
      <c r="W244" s="125"/>
      <c r="AJ244" s="126"/>
      <c r="AK244" s="126"/>
      <c r="AL244" s="122"/>
    </row>
    <row r="245">
      <c r="C245" s="90"/>
      <c r="D245" s="90"/>
      <c r="E245" s="90"/>
      <c r="F245" s="90"/>
      <c r="G245" s="90"/>
      <c r="H245" s="123"/>
      <c r="I245" s="123"/>
      <c r="J245" s="123"/>
      <c r="K245" s="123"/>
      <c r="L245" s="123"/>
      <c r="M245" s="123"/>
      <c r="N245" s="123"/>
      <c r="O245" s="123"/>
      <c r="P245" s="123"/>
      <c r="Q245" s="123"/>
      <c r="U245" s="124"/>
      <c r="W245" s="125"/>
      <c r="AJ245" s="126"/>
      <c r="AK245" s="126"/>
      <c r="AL245" s="122"/>
    </row>
    <row r="246">
      <c r="C246" s="90"/>
      <c r="D246" s="90"/>
      <c r="E246" s="90"/>
      <c r="F246" s="90"/>
      <c r="G246" s="90"/>
      <c r="H246" s="123"/>
      <c r="I246" s="123"/>
      <c r="J246" s="123"/>
      <c r="K246" s="123"/>
      <c r="L246" s="123"/>
      <c r="M246" s="123"/>
      <c r="N246" s="123"/>
      <c r="O246" s="123"/>
      <c r="P246" s="123"/>
      <c r="Q246" s="123"/>
      <c r="U246" s="124"/>
      <c r="W246" s="125"/>
      <c r="AJ246" s="126"/>
      <c r="AK246" s="126"/>
      <c r="AL246" s="122"/>
    </row>
    <row r="247">
      <c r="C247" s="90"/>
      <c r="D247" s="90"/>
      <c r="E247" s="90"/>
      <c r="F247" s="90"/>
      <c r="G247" s="90"/>
      <c r="H247" s="123"/>
      <c r="I247" s="123"/>
      <c r="J247" s="123"/>
      <c r="K247" s="123"/>
      <c r="L247" s="123"/>
      <c r="M247" s="123"/>
      <c r="N247" s="123"/>
      <c r="O247" s="123"/>
      <c r="P247" s="123"/>
      <c r="Q247" s="123"/>
      <c r="U247" s="124"/>
      <c r="W247" s="125"/>
      <c r="AJ247" s="126"/>
      <c r="AK247" s="126"/>
      <c r="AL247" s="122"/>
    </row>
    <row r="248">
      <c r="C248" s="90"/>
      <c r="D248" s="90"/>
      <c r="E248" s="90"/>
      <c r="F248" s="90"/>
      <c r="G248" s="90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U248" s="124"/>
      <c r="W248" s="125"/>
      <c r="AJ248" s="126"/>
      <c r="AK248" s="126"/>
      <c r="AL248" s="122"/>
    </row>
    <row r="249">
      <c r="C249" s="90"/>
      <c r="D249" s="90"/>
      <c r="E249" s="90"/>
      <c r="F249" s="90"/>
      <c r="G249" s="90"/>
      <c r="H249" s="123"/>
      <c r="I249" s="123"/>
      <c r="J249" s="123"/>
      <c r="K249" s="123"/>
      <c r="L249" s="123"/>
      <c r="M249" s="123"/>
      <c r="N249" s="123"/>
      <c r="O249" s="123"/>
      <c r="P249" s="123"/>
      <c r="Q249" s="123"/>
      <c r="U249" s="124"/>
      <c r="W249" s="125"/>
      <c r="AJ249" s="126"/>
      <c r="AK249" s="126"/>
      <c r="AL249" s="122"/>
    </row>
    <row r="250">
      <c r="C250" s="90"/>
      <c r="D250" s="90"/>
      <c r="E250" s="90"/>
      <c r="F250" s="90"/>
      <c r="G250" s="90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U250" s="124"/>
      <c r="W250" s="125"/>
      <c r="AJ250" s="126"/>
      <c r="AK250" s="126"/>
      <c r="AL250" s="122"/>
    </row>
    <row r="251">
      <c r="C251" s="90"/>
      <c r="D251" s="90"/>
      <c r="E251" s="90"/>
      <c r="F251" s="90"/>
      <c r="G251" s="90"/>
      <c r="H251" s="123"/>
      <c r="I251" s="123"/>
      <c r="J251" s="123"/>
      <c r="K251" s="123"/>
      <c r="L251" s="123"/>
      <c r="M251" s="123"/>
      <c r="N251" s="123"/>
      <c r="O251" s="123"/>
      <c r="P251" s="123"/>
      <c r="Q251" s="123"/>
      <c r="U251" s="124"/>
      <c r="W251" s="125"/>
      <c r="AJ251" s="126"/>
      <c r="AK251" s="126"/>
      <c r="AL251" s="122"/>
    </row>
    <row r="252">
      <c r="C252" s="90"/>
      <c r="D252" s="90"/>
      <c r="E252" s="90"/>
      <c r="F252" s="90"/>
      <c r="G252" s="90"/>
      <c r="H252" s="123"/>
      <c r="I252" s="123"/>
      <c r="J252" s="123"/>
      <c r="K252" s="123"/>
      <c r="L252" s="123"/>
      <c r="M252" s="123"/>
      <c r="N252" s="123"/>
      <c r="O252" s="123"/>
      <c r="P252" s="123"/>
      <c r="Q252" s="123"/>
      <c r="U252" s="124"/>
      <c r="W252" s="125"/>
      <c r="AJ252" s="126"/>
      <c r="AK252" s="126"/>
      <c r="AL252" s="122"/>
    </row>
    <row r="253">
      <c r="C253" s="90"/>
      <c r="D253" s="90"/>
      <c r="E253" s="90"/>
      <c r="F253" s="90"/>
      <c r="G253" s="90"/>
      <c r="H253" s="123"/>
      <c r="I253" s="123"/>
      <c r="J253" s="123"/>
      <c r="K253" s="123"/>
      <c r="L253" s="123"/>
      <c r="M253" s="123"/>
      <c r="N253" s="123"/>
      <c r="O253" s="123"/>
      <c r="P253" s="123"/>
      <c r="Q253" s="123"/>
      <c r="U253" s="124"/>
      <c r="W253" s="125"/>
      <c r="AJ253" s="126"/>
      <c r="AK253" s="126"/>
      <c r="AL253" s="122"/>
    </row>
    <row r="254">
      <c r="C254" s="90"/>
      <c r="D254" s="90"/>
      <c r="E254" s="90"/>
      <c r="F254" s="90"/>
      <c r="G254" s="90"/>
      <c r="H254" s="123"/>
      <c r="I254" s="123"/>
      <c r="J254" s="123"/>
      <c r="K254" s="123"/>
      <c r="L254" s="123"/>
      <c r="M254" s="123"/>
      <c r="N254" s="123"/>
      <c r="O254" s="123"/>
      <c r="P254" s="123"/>
      <c r="Q254" s="123"/>
      <c r="U254" s="124"/>
      <c r="W254" s="125"/>
      <c r="AJ254" s="126"/>
      <c r="AK254" s="126"/>
      <c r="AL254" s="122"/>
    </row>
    <row r="255">
      <c r="C255" s="90"/>
      <c r="D255" s="90"/>
      <c r="E255" s="90"/>
      <c r="F255" s="90"/>
      <c r="G255" s="90"/>
      <c r="H255" s="123"/>
      <c r="I255" s="123"/>
      <c r="J255" s="123"/>
      <c r="K255" s="123"/>
      <c r="L255" s="123"/>
      <c r="M255" s="123"/>
      <c r="N255" s="123"/>
      <c r="O255" s="123"/>
      <c r="P255" s="123"/>
      <c r="Q255" s="123"/>
      <c r="U255" s="124"/>
      <c r="W255" s="125"/>
      <c r="AJ255" s="126"/>
      <c r="AK255" s="126"/>
      <c r="AL255" s="122"/>
    </row>
    <row r="256">
      <c r="C256" s="90"/>
      <c r="D256" s="90"/>
      <c r="E256" s="90"/>
      <c r="F256" s="90"/>
      <c r="G256" s="90"/>
      <c r="H256" s="123"/>
      <c r="I256" s="123"/>
      <c r="J256" s="123"/>
      <c r="K256" s="123"/>
      <c r="L256" s="123"/>
      <c r="M256" s="123"/>
      <c r="N256" s="123"/>
      <c r="O256" s="123"/>
      <c r="P256" s="123"/>
      <c r="Q256" s="123"/>
      <c r="U256" s="124"/>
      <c r="W256" s="125"/>
      <c r="AJ256" s="126"/>
      <c r="AK256" s="126"/>
      <c r="AL256" s="122"/>
    </row>
    <row r="257">
      <c r="C257" s="90"/>
      <c r="D257" s="90"/>
      <c r="E257" s="90"/>
      <c r="F257" s="90"/>
      <c r="G257" s="90"/>
      <c r="H257" s="123"/>
      <c r="I257" s="123"/>
      <c r="J257" s="123"/>
      <c r="K257" s="123"/>
      <c r="L257" s="123"/>
      <c r="M257" s="123"/>
      <c r="N257" s="123"/>
      <c r="O257" s="123"/>
      <c r="P257" s="123"/>
      <c r="Q257" s="123"/>
      <c r="U257" s="124"/>
      <c r="W257" s="125"/>
      <c r="AJ257" s="126"/>
      <c r="AK257" s="126"/>
      <c r="AL257" s="122"/>
    </row>
    <row r="258">
      <c r="C258" s="90"/>
      <c r="D258" s="90"/>
      <c r="E258" s="90"/>
      <c r="F258" s="90"/>
      <c r="G258" s="90"/>
      <c r="H258" s="123"/>
      <c r="I258" s="123"/>
      <c r="J258" s="123"/>
      <c r="K258" s="123"/>
      <c r="L258" s="123"/>
      <c r="M258" s="123"/>
      <c r="N258" s="123"/>
      <c r="O258" s="123"/>
      <c r="P258" s="123"/>
      <c r="Q258" s="123"/>
      <c r="U258" s="124"/>
      <c r="W258" s="125"/>
      <c r="AJ258" s="126"/>
      <c r="AK258" s="126"/>
      <c r="AL258" s="122"/>
    </row>
    <row r="259">
      <c r="C259" s="90"/>
      <c r="D259" s="90"/>
      <c r="E259" s="90"/>
      <c r="F259" s="90"/>
      <c r="G259" s="90"/>
      <c r="H259" s="123"/>
      <c r="I259" s="123"/>
      <c r="J259" s="123"/>
      <c r="K259" s="123"/>
      <c r="L259" s="123"/>
      <c r="M259" s="123"/>
      <c r="N259" s="123"/>
      <c r="O259" s="123"/>
      <c r="P259" s="123"/>
      <c r="Q259" s="123"/>
      <c r="U259" s="124"/>
      <c r="W259" s="125"/>
      <c r="AJ259" s="126"/>
      <c r="AK259" s="126"/>
      <c r="AL259" s="122"/>
    </row>
    <row r="260">
      <c r="C260" s="90"/>
      <c r="D260" s="90"/>
      <c r="E260" s="90"/>
      <c r="F260" s="90"/>
      <c r="G260" s="90"/>
      <c r="H260" s="123"/>
      <c r="I260" s="123"/>
      <c r="J260" s="123"/>
      <c r="K260" s="123"/>
      <c r="L260" s="123"/>
      <c r="M260" s="123"/>
      <c r="N260" s="123"/>
      <c r="O260" s="123"/>
      <c r="P260" s="123"/>
      <c r="Q260" s="123"/>
      <c r="U260" s="124"/>
      <c r="W260" s="125"/>
      <c r="AJ260" s="126"/>
      <c r="AK260" s="126"/>
      <c r="AL260" s="122"/>
    </row>
    <row r="261">
      <c r="C261" s="90"/>
      <c r="D261" s="90"/>
      <c r="E261" s="90"/>
      <c r="F261" s="90"/>
      <c r="G261" s="90"/>
      <c r="H261" s="123"/>
      <c r="I261" s="123"/>
      <c r="J261" s="123"/>
      <c r="K261" s="123"/>
      <c r="L261" s="123"/>
      <c r="M261" s="123"/>
      <c r="N261" s="123"/>
      <c r="O261" s="123"/>
      <c r="P261" s="123"/>
      <c r="Q261" s="123"/>
      <c r="U261" s="124"/>
      <c r="W261" s="125"/>
      <c r="AJ261" s="126"/>
      <c r="AK261" s="126"/>
      <c r="AL261" s="122"/>
    </row>
    <row r="262">
      <c r="C262" s="90"/>
      <c r="D262" s="90"/>
      <c r="E262" s="90"/>
      <c r="F262" s="90"/>
      <c r="G262" s="90"/>
      <c r="H262" s="123"/>
      <c r="I262" s="123"/>
      <c r="J262" s="123"/>
      <c r="K262" s="123"/>
      <c r="L262" s="123"/>
      <c r="M262" s="123"/>
      <c r="N262" s="123"/>
      <c r="O262" s="123"/>
      <c r="P262" s="123"/>
      <c r="Q262" s="123"/>
      <c r="U262" s="124"/>
      <c r="W262" s="125"/>
      <c r="AJ262" s="126"/>
      <c r="AK262" s="126"/>
      <c r="AL262" s="122"/>
    </row>
    <row r="263">
      <c r="C263" s="90"/>
      <c r="D263" s="90"/>
      <c r="E263" s="90"/>
      <c r="F263" s="90"/>
      <c r="G263" s="90"/>
      <c r="H263" s="123"/>
      <c r="I263" s="123"/>
      <c r="J263" s="123"/>
      <c r="K263" s="123"/>
      <c r="L263" s="123"/>
      <c r="M263" s="123"/>
      <c r="N263" s="123"/>
      <c r="O263" s="123"/>
      <c r="P263" s="123"/>
      <c r="Q263" s="123"/>
      <c r="U263" s="124"/>
      <c r="W263" s="125"/>
      <c r="AJ263" s="126"/>
      <c r="AK263" s="126"/>
      <c r="AL263" s="122"/>
    </row>
    <row r="264">
      <c r="C264" s="90"/>
      <c r="D264" s="90"/>
      <c r="E264" s="90"/>
      <c r="F264" s="90"/>
      <c r="G264" s="90"/>
      <c r="H264" s="123"/>
      <c r="I264" s="123"/>
      <c r="J264" s="123"/>
      <c r="K264" s="123"/>
      <c r="L264" s="123"/>
      <c r="M264" s="123"/>
      <c r="N264" s="123"/>
      <c r="O264" s="123"/>
      <c r="P264" s="123"/>
      <c r="Q264" s="123"/>
      <c r="U264" s="124"/>
      <c r="W264" s="125"/>
      <c r="AJ264" s="126"/>
      <c r="AK264" s="126"/>
      <c r="AL264" s="122"/>
    </row>
    <row r="265">
      <c r="C265" s="90"/>
      <c r="D265" s="90"/>
      <c r="E265" s="90"/>
      <c r="F265" s="90"/>
      <c r="G265" s="90"/>
      <c r="H265" s="123"/>
      <c r="I265" s="123"/>
      <c r="J265" s="123"/>
      <c r="K265" s="123"/>
      <c r="L265" s="123"/>
      <c r="M265" s="123"/>
      <c r="N265" s="123"/>
      <c r="O265" s="123"/>
      <c r="P265" s="123"/>
      <c r="Q265" s="123"/>
      <c r="U265" s="124"/>
      <c r="W265" s="125"/>
      <c r="AJ265" s="126"/>
      <c r="AK265" s="126"/>
      <c r="AL265" s="122"/>
    </row>
    <row r="266">
      <c r="C266" s="90"/>
      <c r="D266" s="90"/>
      <c r="E266" s="90"/>
      <c r="F266" s="90"/>
      <c r="G266" s="90"/>
      <c r="H266" s="123"/>
      <c r="I266" s="123"/>
      <c r="J266" s="123"/>
      <c r="K266" s="123"/>
      <c r="L266" s="123"/>
      <c r="M266" s="123"/>
      <c r="N266" s="123"/>
      <c r="O266" s="123"/>
      <c r="P266" s="123"/>
      <c r="Q266" s="123"/>
      <c r="U266" s="124"/>
      <c r="W266" s="125"/>
      <c r="AJ266" s="126"/>
      <c r="AK266" s="126"/>
      <c r="AL266" s="122"/>
    </row>
    <row r="267">
      <c r="C267" s="90"/>
      <c r="D267" s="90"/>
      <c r="E267" s="90"/>
      <c r="F267" s="90"/>
      <c r="G267" s="90"/>
      <c r="H267" s="123"/>
      <c r="I267" s="123"/>
      <c r="J267" s="123"/>
      <c r="K267" s="123"/>
      <c r="L267" s="123"/>
      <c r="M267" s="123"/>
      <c r="N267" s="123"/>
      <c r="O267" s="123"/>
      <c r="P267" s="123"/>
      <c r="Q267" s="123"/>
      <c r="U267" s="124"/>
      <c r="W267" s="125"/>
      <c r="AJ267" s="126"/>
      <c r="AK267" s="126"/>
      <c r="AL267" s="122"/>
    </row>
    <row r="268">
      <c r="C268" s="90"/>
      <c r="D268" s="90"/>
      <c r="E268" s="90"/>
      <c r="F268" s="90"/>
      <c r="G268" s="90"/>
      <c r="H268" s="123"/>
      <c r="I268" s="123"/>
      <c r="J268" s="123"/>
      <c r="K268" s="123"/>
      <c r="L268" s="123"/>
      <c r="M268" s="123"/>
      <c r="N268" s="123"/>
      <c r="O268" s="123"/>
      <c r="P268" s="123"/>
      <c r="Q268" s="123"/>
      <c r="U268" s="124"/>
      <c r="W268" s="125"/>
      <c r="AJ268" s="126"/>
      <c r="AK268" s="126"/>
      <c r="AL268" s="122"/>
    </row>
    <row r="269">
      <c r="C269" s="90"/>
      <c r="D269" s="90"/>
      <c r="E269" s="90"/>
      <c r="F269" s="90"/>
      <c r="G269" s="90"/>
      <c r="H269" s="123"/>
      <c r="I269" s="123"/>
      <c r="J269" s="123"/>
      <c r="K269" s="123"/>
      <c r="L269" s="123"/>
      <c r="M269" s="123"/>
      <c r="N269" s="123"/>
      <c r="O269" s="123"/>
      <c r="P269" s="123"/>
      <c r="Q269" s="123"/>
      <c r="U269" s="124"/>
      <c r="W269" s="125"/>
      <c r="AJ269" s="126"/>
      <c r="AK269" s="126"/>
      <c r="AL269" s="122"/>
    </row>
    <row r="270">
      <c r="C270" s="90"/>
      <c r="D270" s="90"/>
      <c r="E270" s="90"/>
      <c r="F270" s="90"/>
      <c r="G270" s="90"/>
      <c r="H270" s="123"/>
      <c r="I270" s="123"/>
      <c r="J270" s="123"/>
      <c r="K270" s="123"/>
      <c r="L270" s="123"/>
      <c r="M270" s="123"/>
      <c r="N270" s="123"/>
      <c r="O270" s="123"/>
      <c r="P270" s="123"/>
      <c r="Q270" s="123"/>
      <c r="U270" s="124"/>
      <c r="W270" s="125"/>
      <c r="AJ270" s="126"/>
      <c r="AK270" s="126"/>
      <c r="AL270" s="122"/>
    </row>
    <row r="271">
      <c r="C271" s="90"/>
      <c r="D271" s="90"/>
      <c r="E271" s="90"/>
      <c r="F271" s="90"/>
      <c r="G271" s="90"/>
      <c r="H271" s="123"/>
      <c r="I271" s="123"/>
      <c r="J271" s="123"/>
      <c r="K271" s="123"/>
      <c r="L271" s="123"/>
      <c r="M271" s="123"/>
      <c r="N271" s="123"/>
      <c r="O271" s="123"/>
      <c r="P271" s="123"/>
      <c r="Q271" s="123"/>
      <c r="U271" s="124"/>
      <c r="W271" s="125"/>
      <c r="AJ271" s="126"/>
      <c r="AK271" s="126"/>
      <c r="AL271" s="122"/>
    </row>
    <row r="272">
      <c r="C272" s="90"/>
      <c r="D272" s="90"/>
      <c r="E272" s="90"/>
      <c r="F272" s="90"/>
      <c r="G272" s="90"/>
      <c r="H272" s="123"/>
      <c r="I272" s="123"/>
      <c r="J272" s="123"/>
      <c r="K272" s="123"/>
      <c r="L272" s="123"/>
      <c r="M272" s="123"/>
      <c r="N272" s="123"/>
      <c r="O272" s="123"/>
      <c r="P272" s="123"/>
      <c r="Q272" s="123"/>
      <c r="U272" s="124"/>
      <c r="W272" s="125"/>
      <c r="AJ272" s="126"/>
      <c r="AK272" s="126"/>
      <c r="AL272" s="122"/>
    </row>
    <row r="273">
      <c r="C273" s="90"/>
      <c r="D273" s="90"/>
      <c r="E273" s="90"/>
      <c r="F273" s="90"/>
      <c r="G273" s="90"/>
      <c r="H273" s="123"/>
      <c r="I273" s="123"/>
      <c r="J273" s="123"/>
      <c r="K273" s="123"/>
      <c r="L273" s="123"/>
      <c r="M273" s="123"/>
      <c r="N273" s="123"/>
      <c r="O273" s="123"/>
      <c r="P273" s="123"/>
      <c r="Q273" s="123"/>
      <c r="U273" s="124"/>
      <c r="W273" s="125"/>
      <c r="AJ273" s="126"/>
      <c r="AK273" s="126"/>
      <c r="AL273" s="122"/>
    </row>
    <row r="274">
      <c r="C274" s="90"/>
      <c r="D274" s="90"/>
      <c r="E274" s="90"/>
      <c r="F274" s="90"/>
      <c r="G274" s="90"/>
      <c r="H274" s="123"/>
      <c r="I274" s="123"/>
      <c r="J274" s="123"/>
      <c r="K274" s="123"/>
      <c r="L274" s="123"/>
      <c r="M274" s="123"/>
      <c r="N274" s="123"/>
      <c r="O274" s="123"/>
      <c r="P274" s="123"/>
      <c r="Q274" s="123"/>
      <c r="U274" s="124"/>
      <c r="W274" s="125"/>
      <c r="AJ274" s="126"/>
      <c r="AK274" s="126"/>
      <c r="AL274" s="122"/>
    </row>
    <row r="275">
      <c r="C275" s="90"/>
      <c r="D275" s="90"/>
      <c r="E275" s="90"/>
      <c r="F275" s="90"/>
      <c r="G275" s="90"/>
      <c r="H275" s="123"/>
      <c r="I275" s="123"/>
      <c r="J275" s="123"/>
      <c r="K275" s="123"/>
      <c r="L275" s="123"/>
      <c r="M275" s="123"/>
      <c r="N275" s="123"/>
      <c r="O275" s="123"/>
      <c r="P275" s="123"/>
      <c r="Q275" s="123"/>
      <c r="U275" s="124"/>
      <c r="W275" s="125"/>
      <c r="AJ275" s="126"/>
      <c r="AK275" s="126"/>
      <c r="AL275" s="122"/>
    </row>
    <row r="276">
      <c r="C276" s="90"/>
      <c r="D276" s="90"/>
      <c r="E276" s="90"/>
      <c r="F276" s="90"/>
      <c r="G276" s="90"/>
      <c r="H276" s="123"/>
      <c r="I276" s="123"/>
      <c r="J276" s="123"/>
      <c r="K276" s="123"/>
      <c r="L276" s="123"/>
      <c r="M276" s="123"/>
      <c r="N276" s="123"/>
      <c r="O276" s="123"/>
      <c r="P276" s="123"/>
      <c r="Q276" s="123"/>
      <c r="U276" s="124"/>
      <c r="W276" s="125"/>
      <c r="AJ276" s="126"/>
      <c r="AK276" s="126"/>
      <c r="AL276" s="122"/>
    </row>
    <row r="277">
      <c r="C277" s="90"/>
      <c r="D277" s="90"/>
      <c r="E277" s="90"/>
      <c r="F277" s="90"/>
      <c r="G277" s="90"/>
      <c r="H277" s="123"/>
      <c r="I277" s="123"/>
      <c r="J277" s="123"/>
      <c r="K277" s="123"/>
      <c r="L277" s="123"/>
      <c r="M277" s="123"/>
      <c r="N277" s="123"/>
      <c r="O277" s="123"/>
      <c r="P277" s="123"/>
      <c r="Q277" s="123"/>
      <c r="U277" s="124"/>
      <c r="W277" s="125"/>
      <c r="AJ277" s="126"/>
      <c r="AK277" s="126"/>
      <c r="AL277" s="122"/>
    </row>
    <row r="278">
      <c r="C278" s="90"/>
      <c r="D278" s="90"/>
      <c r="E278" s="90"/>
      <c r="F278" s="90"/>
      <c r="G278" s="90"/>
      <c r="H278" s="123"/>
      <c r="I278" s="123"/>
      <c r="J278" s="123"/>
      <c r="K278" s="123"/>
      <c r="L278" s="123"/>
      <c r="M278" s="123"/>
      <c r="N278" s="123"/>
      <c r="O278" s="123"/>
      <c r="P278" s="123"/>
      <c r="Q278" s="123"/>
      <c r="U278" s="124"/>
      <c r="W278" s="125"/>
      <c r="AJ278" s="126"/>
      <c r="AK278" s="126"/>
      <c r="AL278" s="122"/>
    </row>
    <row r="279">
      <c r="C279" s="90"/>
      <c r="D279" s="90"/>
      <c r="E279" s="90"/>
      <c r="F279" s="90"/>
      <c r="G279" s="90"/>
      <c r="H279" s="123"/>
      <c r="I279" s="123"/>
      <c r="J279" s="123"/>
      <c r="K279" s="123"/>
      <c r="L279" s="123"/>
      <c r="M279" s="123"/>
      <c r="N279" s="123"/>
      <c r="O279" s="123"/>
      <c r="P279" s="123"/>
      <c r="Q279" s="123"/>
      <c r="U279" s="124"/>
      <c r="W279" s="125"/>
      <c r="AJ279" s="126"/>
      <c r="AK279" s="126"/>
      <c r="AL279" s="122"/>
    </row>
    <row r="280">
      <c r="C280" s="90"/>
      <c r="D280" s="90"/>
      <c r="E280" s="90"/>
      <c r="F280" s="90"/>
      <c r="G280" s="90"/>
      <c r="H280" s="123"/>
      <c r="I280" s="123"/>
      <c r="J280" s="123"/>
      <c r="K280" s="123"/>
      <c r="L280" s="123"/>
      <c r="M280" s="123"/>
      <c r="N280" s="123"/>
      <c r="O280" s="123"/>
      <c r="P280" s="123"/>
      <c r="Q280" s="123"/>
      <c r="U280" s="124"/>
      <c r="W280" s="125"/>
      <c r="AJ280" s="126"/>
      <c r="AK280" s="126"/>
      <c r="AL280" s="122"/>
    </row>
    <row r="281">
      <c r="C281" s="90"/>
      <c r="D281" s="90"/>
      <c r="E281" s="90"/>
      <c r="F281" s="90"/>
      <c r="G281" s="90"/>
      <c r="H281" s="123"/>
      <c r="I281" s="123"/>
      <c r="J281" s="123"/>
      <c r="K281" s="123"/>
      <c r="L281" s="123"/>
      <c r="M281" s="123"/>
      <c r="N281" s="123"/>
      <c r="O281" s="123"/>
      <c r="P281" s="123"/>
      <c r="Q281" s="123"/>
      <c r="U281" s="124"/>
      <c r="W281" s="125"/>
      <c r="AJ281" s="126"/>
      <c r="AK281" s="126"/>
      <c r="AL281" s="122"/>
    </row>
    <row r="282">
      <c r="C282" s="90"/>
      <c r="D282" s="90"/>
      <c r="E282" s="90"/>
      <c r="F282" s="90"/>
      <c r="G282" s="90"/>
      <c r="H282" s="123"/>
      <c r="I282" s="123"/>
      <c r="J282" s="123"/>
      <c r="K282" s="123"/>
      <c r="L282" s="123"/>
      <c r="M282" s="123"/>
      <c r="N282" s="123"/>
      <c r="O282" s="123"/>
      <c r="P282" s="123"/>
      <c r="Q282" s="123"/>
      <c r="U282" s="124"/>
      <c r="W282" s="125"/>
      <c r="AJ282" s="126"/>
      <c r="AK282" s="126"/>
      <c r="AL282" s="122"/>
    </row>
    <row r="283">
      <c r="C283" s="90"/>
      <c r="D283" s="90"/>
      <c r="E283" s="90"/>
      <c r="F283" s="90"/>
      <c r="G283" s="90"/>
      <c r="H283" s="123"/>
      <c r="I283" s="123"/>
      <c r="J283" s="123"/>
      <c r="K283" s="123"/>
      <c r="L283" s="123"/>
      <c r="M283" s="123"/>
      <c r="N283" s="123"/>
      <c r="O283" s="123"/>
      <c r="P283" s="123"/>
      <c r="Q283" s="123"/>
      <c r="U283" s="124"/>
      <c r="W283" s="125"/>
      <c r="AJ283" s="126"/>
      <c r="AK283" s="126"/>
      <c r="AL283" s="122"/>
    </row>
    <row r="284">
      <c r="C284" s="90"/>
      <c r="D284" s="90"/>
      <c r="E284" s="90"/>
      <c r="F284" s="90"/>
      <c r="G284" s="90"/>
      <c r="H284" s="123"/>
      <c r="I284" s="123"/>
      <c r="J284" s="123"/>
      <c r="K284" s="123"/>
      <c r="L284" s="123"/>
      <c r="M284" s="123"/>
      <c r="N284" s="123"/>
      <c r="O284" s="123"/>
      <c r="P284" s="123"/>
      <c r="Q284" s="123"/>
      <c r="U284" s="124"/>
      <c r="W284" s="125"/>
      <c r="AJ284" s="126"/>
      <c r="AK284" s="126"/>
      <c r="AL284" s="122"/>
    </row>
    <row r="285">
      <c r="C285" s="90"/>
      <c r="D285" s="90"/>
      <c r="E285" s="90"/>
      <c r="F285" s="90"/>
      <c r="G285" s="90"/>
      <c r="H285" s="123"/>
      <c r="I285" s="123"/>
      <c r="J285" s="123"/>
      <c r="K285" s="123"/>
      <c r="L285" s="123"/>
      <c r="M285" s="123"/>
      <c r="N285" s="123"/>
      <c r="O285" s="123"/>
      <c r="P285" s="123"/>
      <c r="Q285" s="123"/>
      <c r="U285" s="124"/>
      <c r="W285" s="125"/>
      <c r="AJ285" s="126"/>
      <c r="AK285" s="126"/>
      <c r="AL285" s="122"/>
    </row>
    <row r="286">
      <c r="C286" s="90"/>
      <c r="D286" s="90"/>
      <c r="E286" s="90"/>
      <c r="F286" s="90"/>
      <c r="G286" s="90"/>
      <c r="H286" s="123"/>
      <c r="I286" s="123"/>
      <c r="J286" s="123"/>
      <c r="K286" s="123"/>
      <c r="L286" s="123"/>
      <c r="M286" s="123"/>
      <c r="N286" s="123"/>
      <c r="O286" s="123"/>
      <c r="P286" s="123"/>
      <c r="Q286" s="123"/>
      <c r="U286" s="124"/>
      <c r="W286" s="125"/>
      <c r="AJ286" s="126"/>
      <c r="AK286" s="126"/>
      <c r="AL286" s="122"/>
    </row>
    <row r="287">
      <c r="C287" s="90"/>
      <c r="D287" s="90"/>
      <c r="E287" s="90"/>
      <c r="F287" s="90"/>
      <c r="G287" s="90"/>
      <c r="H287" s="123"/>
      <c r="I287" s="123"/>
      <c r="J287" s="123"/>
      <c r="K287" s="123"/>
      <c r="L287" s="123"/>
      <c r="M287" s="123"/>
      <c r="N287" s="123"/>
      <c r="O287" s="123"/>
      <c r="P287" s="123"/>
      <c r="Q287" s="123"/>
      <c r="U287" s="124"/>
      <c r="W287" s="125"/>
      <c r="AJ287" s="126"/>
      <c r="AK287" s="126"/>
      <c r="AL287" s="122"/>
    </row>
    <row r="288">
      <c r="C288" s="90"/>
      <c r="D288" s="90"/>
      <c r="E288" s="90"/>
      <c r="F288" s="90"/>
      <c r="G288" s="90"/>
      <c r="H288" s="123"/>
      <c r="I288" s="123"/>
      <c r="J288" s="123"/>
      <c r="K288" s="123"/>
      <c r="L288" s="123"/>
      <c r="M288" s="123"/>
      <c r="N288" s="123"/>
      <c r="O288" s="123"/>
      <c r="P288" s="123"/>
      <c r="Q288" s="123"/>
      <c r="U288" s="124"/>
      <c r="W288" s="125"/>
      <c r="AJ288" s="126"/>
      <c r="AK288" s="126"/>
      <c r="AL288" s="122"/>
    </row>
    <row r="289">
      <c r="C289" s="90"/>
      <c r="D289" s="90"/>
      <c r="E289" s="90"/>
      <c r="F289" s="90"/>
      <c r="G289" s="90"/>
      <c r="H289" s="123"/>
      <c r="I289" s="123"/>
      <c r="J289" s="123"/>
      <c r="K289" s="123"/>
      <c r="L289" s="123"/>
      <c r="M289" s="123"/>
      <c r="N289" s="123"/>
      <c r="O289" s="123"/>
      <c r="P289" s="123"/>
      <c r="Q289" s="123"/>
      <c r="U289" s="124"/>
      <c r="W289" s="125"/>
      <c r="AJ289" s="126"/>
      <c r="AK289" s="126"/>
      <c r="AL289" s="122"/>
    </row>
    <row r="290">
      <c r="C290" s="90"/>
      <c r="D290" s="90"/>
      <c r="E290" s="90"/>
      <c r="F290" s="90"/>
      <c r="G290" s="90"/>
      <c r="H290" s="123"/>
      <c r="I290" s="123"/>
      <c r="J290" s="123"/>
      <c r="K290" s="123"/>
      <c r="L290" s="123"/>
      <c r="M290" s="123"/>
      <c r="N290" s="123"/>
      <c r="O290" s="123"/>
      <c r="P290" s="123"/>
      <c r="Q290" s="123"/>
      <c r="U290" s="124"/>
      <c r="W290" s="125"/>
      <c r="AJ290" s="126"/>
      <c r="AK290" s="126"/>
      <c r="AL290" s="122"/>
    </row>
    <row r="291">
      <c r="C291" s="90"/>
      <c r="D291" s="90"/>
      <c r="E291" s="90"/>
      <c r="F291" s="90"/>
      <c r="G291" s="90"/>
      <c r="H291" s="123"/>
      <c r="I291" s="123"/>
      <c r="J291" s="123"/>
      <c r="K291" s="123"/>
      <c r="L291" s="123"/>
      <c r="M291" s="123"/>
      <c r="N291" s="123"/>
      <c r="O291" s="123"/>
      <c r="P291" s="123"/>
      <c r="Q291" s="123"/>
      <c r="U291" s="124"/>
      <c r="W291" s="125"/>
      <c r="AJ291" s="126"/>
      <c r="AK291" s="126"/>
      <c r="AL291" s="122"/>
    </row>
    <row r="292">
      <c r="C292" s="90"/>
      <c r="D292" s="90"/>
      <c r="E292" s="90"/>
      <c r="F292" s="90"/>
      <c r="G292" s="90"/>
      <c r="H292" s="123"/>
      <c r="I292" s="123"/>
      <c r="J292" s="123"/>
      <c r="K292" s="123"/>
      <c r="L292" s="123"/>
      <c r="M292" s="123"/>
      <c r="N292" s="123"/>
      <c r="O292" s="123"/>
      <c r="P292" s="123"/>
      <c r="Q292" s="123"/>
      <c r="U292" s="124"/>
      <c r="W292" s="125"/>
      <c r="AJ292" s="126"/>
      <c r="AK292" s="126"/>
      <c r="AL292" s="122"/>
    </row>
    <row r="293">
      <c r="C293" s="90"/>
      <c r="D293" s="90"/>
      <c r="E293" s="90"/>
      <c r="F293" s="90"/>
      <c r="G293" s="90"/>
      <c r="H293" s="123"/>
      <c r="I293" s="123"/>
      <c r="J293" s="123"/>
      <c r="K293" s="123"/>
      <c r="L293" s="123"/>
      <c r="M293" s="123"/>
      <c r="N293" s="123"/>
      <c r="O293" s="123"/>
      <c r="P293" s="123"/>
      <c r="Q293" s="123"/>
      <c r="U293" s="124"/>
      <c r="W293" s="125"/>
      <c r="AJ293" s="126"/>
      <c r="AK293" s="126"/>
      <c r="AL293" s="122"/>
    </row>
    <row r="294">
      <c r="C294" s="90"/>
      <c r="D294" s="90"/>
      <c r="E294" s="90"/>
      <c r="F294" s="90"/>
      <c r="G294" s="90"/>
      <c r="H294" s="123"/>
      <c r="I294" s="123"/>
      <c r="J294" s="123"/>
      <c r="K294" s="123"/>
      <c r="L294" s="123"/>
      <c r="M294" s="123"/>
      <c r="N294" s="123"/>
      <c r="O294" s="123"/>
      <c r="P294" s="123"/>
      <c r="Q294" s="123"/>
      <c r="U294" s="124"/>
      <c r="W294" s="125"/>
      <c r="AJ294" s="126"/>
      <c r="AK294" s="126"/>
      <c r="AL294" s="122"/>
    </row>
    <row r="295">
      <c r="C295" s="90"/>
      <c r="D295" s="90"/>
      <c r="E295" s="90"/>
      <c r="F295" s="90"/>
      <c r="G295" s="90"/>
      <c r="H295" s="123"/>
      <c r="I295" s="123"/>
      <c r="J295" s="123"/>
      <c r="K295" s="123"/>
      <c r="L295" s="123"/>
      <c r="M295" s="123"/>
      <c r="N295" s="123"/>
      <c r="O295" s="123"/>
      <c r="P295" s="123"/>
      <c r="Q295" s="123"/>
      <c r="U295" s="124"/>
      <c r="W295" s="125"/>
      <c r="AJ295" s="126"/>
      <c r="AK295" s="126"/>
      <c r="AL295" s="122"/>
    </row>
    <row r="296">
      <c r="C296" s="90"/>
      <c r="D296" s="90"/>
      <c r="E296" s="90"/>
      <c r="F296" s="90"/>
      <c r="G296" s="90"/>
      <c r="H296" s="123"/>
      <c r="I296" s="123"/>
      <c r="J296" s="123"/>
      <c r="K296" s="123"/>
      <c r="L296" s="123"/>
      <c r="M296" s="123"/>
      <c r="N296" s="123"/>
      <c r="O296" s="123"/>
      <c r="P296" s="123"/>
      <c r="Q296" s="123"/>
      <c r="U296" s="124"/>
      <c r="W296" s="125"/>
      <c r="AJ296" s="126"/>
      <c r="AK296" s="126"/>
      <c r="AL296" s="122"/>
    </row>
    <row r="297">
      <c r="C297" s="90"/>
      <c r="D297" s="90"/>
      <c r="E297" s="90"/>
      <c r="F297" s="90"/>
      <c r="G297" s="90"/>
      <c r="H297" s="123"/>
      <c r="I297" s="123"/>
      <c r="J297" s="123"/>
      <c r="K297" s="123"/>
      <c r="L297" s="123"/>
      <c r="M297" s="123"/>
      <c r="N297" s="123"/>
      <c r="O297" s="123"/>
      <c r="P297" s="123"/>
      <c r="Q297" s="123"/>
      <c r="U297" s="124"/>
      <c r="W297" s="125"/>
      <c r="AJ297" s="126"/>
      <c r="AK297" s="126"/>
      <c r="AL297" s="122"/>
    </row>
    <row r="298">
      <c r="C298" s="90"/>
      <c r="D298" s="90"/>
      <c r="E298" s="90"/>
      <c r="F298" s="90"/>
      <c r="G298" s="90"/>
      <c r="H298" s="123"/>
      <c r="I298" s="123"/>
      <c r="J298" s="123"/>
      <c r="K298" s="123"/>
      <c r="L298" s="123"/>
      <c r="M298" s="123"/>
      <c r="N298" s="123"/>
      <c r="O298" s="123"/>
      <c r="P298" s="123"/>
      <c r="Q298" s="123"/>
      <c r="U298" s="124"/>
      <c r="W298" s="125"/>
      <c r="AJ298" s="126"/>
      <c r="AK298" s="126"/>
      <c r="AL298" s="122"/>
    </row>
    <row r="299">
      <c r="C299" s="90"/>
      <c r="D299" s="90"/>
      <c r="E299" s="90"/>
      <c r="F299" s="90"/>
      <c r="G299" s="90"/>
      <c r="H299" s="123"/>
      <c r="I299" s="123"/>
      <c r="J299" s="123"/>
      <c r="K299" s="123"/>
      <c r="L299" s="123"/>
      <c r="M299" s="123"/>
      <c r="N299" s="123"/>
      <c r="O299" s="123"/>
      <c r="P299" s="123"/>
      <c r="Q299" s="123"/>
      <c r="U299" s="124"/>
      <c r="W299" s="125"/>
      <c r="AJ299" s="126"/>
      <c r="AK299" s="126"/>
      <c r="AL299" s="122"/>
    </row>
    <row r="300">
      <c r="C300" s="90"/>
      <c r="D300" s="90"/>
      <c r="E300" s="90"/>
      <c r="F300" s="90"/>
      <c r="G300" s="90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U300" s="124"/>
      <c r="W300" s="125"/>
      <c r="AJ300" s="126"/>
      <c r="AK300" s="126"/>
      <c r="AL300" s="122"/>
    </row>
    <row r="301">
      <c r="C301" s="90"/>
      <c r="D301" s="90"/>
      <c r="E301" s="90"/>
      <c r="F301" s="90"/>
      <c r="G301" s="90"/>
      <c r="H301" s="123"/>
      <c r="I301" s="123"/>
      <c r="J301" s="123"/>
      <c r="K301" s="123"/>
      <c r="L301" s="123"/>
      <c r="M301" s="123"/>
      <c r="N301" s="123"/>
      <c r="O301" s="123"/>
      <c r="P301" s="123"/>
      <c r="Q301" s="123"/>
      <c r="U301" s="124"/>
      <c r="W301" s="125"/>
      <c r="AJ301" s="126"/>
      <c r="AK301" s="126"/>
      <c r="AL301" s="122"/>
    </row>
    <row r="302">
      <c r="C302" s="90"/>
      <c r="D302" s="90"/>
      <c r="E302" s="90"/>
      <c r="F302" s="90"/>
      <c r="G302" s="90"/>
      <c r="H302" s="123"/>
      <c r="I302" s="123"/>
      <c r="J302" s="123"/>
      <c r="K302" s="123"/>
      <c r="L302" s="123"/>
      <c r="M302" s="123"/>
      <c r="N302" s="123"/>
      <c r="O302" s="123"/>
      <c r="P302" s="123"/>
      <c r="Q302" s="123"/>
      <c r="U302" s="124"/>
      <c r="W302" s="125"/>
      <c r="AJ302" s="126"/>
      <c r="AK302" s="126"/>
      <c r="AL302" s="122"/>
    </row>
    <row r="303">
      <c r="C303" s="90"/>
      <c r="D303" s="90"/>
      <c r="E303" s="90"/>
      <c r="F303" s="90"/>
      <c r="G303" s="90"/>
      <c r="H303" s="123"/>
      <c r="I303" s="123"/>
      <c r="J303" s="123"/>
      <c r="K303" s="123"/>
      <c r="L303" s="123"/>
      <c r="M303" s="123"/>
      <c r="N303" s="123"/>
      <c r="O303" s="123"/>
      <c r="P303" s="123"/>
      <c r="Q303" s="123"/>
      <c r="U303" s="124"/>
      <c r="W303" s="125"/>
      <c r="AJ303" s="126"/>
      <c r="AK303" s="126"/>
      <c r="AL303" s="122"/>
    </row>
    <row r="304">
      <c r="C304" s="90"/>
      <c r="D304" s="90"/>
      <c r="E304" s="90"/>
      <c r="F304" s="90"/>
      <c r="G304" s="90"/>
      <c r="H304" s="123"/>
      <c r="I304" s="123"/>
      <c r="J304" s="123"/>
      <c r="K304" s="123"/>
      <c r="L304" s="123"/>
      <c r="M304" s="123"/>
      <c r="N304" s="123"/>
      <c r="O304" s="123"/>
      <c r="P304" s="123"/>
      <c r="Q304" s="123"/>
      <c r="U304" s="124"/>
      <c r="W304" s="125"/>
      <c r="AJ304" s="126"/>
      <c r="AK304" s="126"/>
      <c r="AL304" s="122"/>
    </row>
    <row r="305">
      <c r="C305" s="90"/>
      <c r="D305" s="90"/>
      <c r="E305" s="90"/>
      <c r="F305" s="90"/>
      <c r="G305" s="90"/>
      <c r="H305" s="123"/>
      <c r="I305" s="123"/>
      <c r="J305" s="123"/>
      <c r="K305" s="123"/>
      <c r="L305" s="123"/>
      <c r="M305" s="123"/>
      <c r="N305" s="123"/>
      <c r="O305" s="123"/>
      <c r="P305" s="123"/>
      <c r="Q305" s="123"/>
      <c r="U305" s="124"/>
      <c r="W305" s="125"/>
      <c r="AJ305" s="126"/>
      <c r="AK305" s="126"/>
      <c r="AL305" s="122"/>
    </row>
    <row r="306">
      <c r="C306" s="90"/>
      <c r="D306" s="90"/>
      <c r="E306" s="90"/>
      <c r="F306" s="90"/>
      <c r="G306" s="90"/>
      <c r="H306" s="123"/>
      <c r="I306" s="123"/>
      <c r="J306" s="123"/>
      <c r="K306" s="123"/>
      <c r="L306" s="123"/>
      <c r="M306" s="123"/>
      <c r="N306" s="123"/>
      <c r="O306" s="123"/>
      <c r="P306" s="123"/>
      <c r="Q306" s="123"/>
      <c r="U306" s="124"/>
      <c r="W306" s="125"/>
      <c r="AJ306" s="126"/>
      <c r="AK306" s="126"/>
      <c r="AL306" s="122"/>
    </row>
    <row r="307">
      <c r="C307" s="90"/>
      <c r="D307" s="90"/>
      <c r="E307" s="90"/>
      <c r="F307" s="90"/>
      <c r="G307" s="90"/>
      <c r="H307" s="123"/>
      <c r="I307" s="123"/>
      <c r="J307" s="123"/>
      <c r="K307" s="123"/>
      <c r="L307" s="123"/>
      <c r="M307" s="123"/>
      <c r="N307" s="123"/>
      <c r="O307" s="123"/>
      <c r="P307" s="123"/>
      <c r="Q307" s="123"/>
      <c r="U307" s="124"/>
      <c r="W307" s="125"/>
      <c r="AJ307" s="126"/>
      <c r="AK307" s="126"/>
      <c r="AL307" s="122"/>
    </row>
    <row r="308">
      <c r="C308" s="90"/>
      <c r="D308" s="90"/>
      <c r="E308" s="90"/>
      <c r="F308" s="90"/>
      <c r="G308" s="90"/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U308" s="124"/>
      <c r="W308" s="125"/>
      <c r="AJ308" s="126"/>
      <c r="AK308" s="126"/>
      <c r="AL308" s="122"/>
    </row>
    <row r="309">
      <c r="C309" s="90"/>
      <c r="D309" s="90"/>
      <c r="E309" s="90"/>
      <c r="F309" s="90"/>
      <c r="G309" s="90"/>
      <c r="H309" s="123"/>
      <c r="I309" s="123"/>
      <c r="J309" s="123"/>
      <c r="K309" s="123"/>
      <c r="L309" s="123"/>
      <c r="M309" s="123"/>
      <c r="N309" s="123"/>
      <c r="O309" s="123"/>
      <c r="P309" s="123"/>
      <c r="Q309" s="123"/>
      <c r="U309" s="124"/>
      <c r="W309" s="125"/>
      <c r="AJ309" s="126"/>
      <c r="AK309" s="126"/>
      <c r="AL309" s="122"/>
    </row>
    <row r="310">
      <c r="C310" s="90"/>
      <c r="D310" s="90"/>
      <c r="E310" s="90"/>
      <c r="F310" s="90"/>
      <c r="G310" s="90"/>
      <c r="H310" s="123"/>
      <c r="I310" s="123"/>
      <c r="J310" s="123"/>
      <c r="K310" s="123"/>
      <c r="L310" s="123"/>
      <c r="M310" s="123"/>
      <c r="N310" s="123"/>
      <c r="O310" s="123"/>
      <c r="P310" s="123"/>
      <c r="Q310" s="123"/>
      <c r="U310" s="124"/>
      <c r="W310" s="125"/>
      <c r="AJ310" s="126"/>
      <c r="AK310" s="126"/>
      <c r="AL310" s="122"/>
    </row>
    <row r="311">
      <c r="C311" s="90"/>
      <c r="D311" s="90"/>
      <c r="E311" s="90"/>
      <c r="F311" s="90"/>
      <c r="G311" s="90"/>
      <c r="H311" s="123"/>
      <c r="I311" s="123"/>
      <c r="J311" s="123"/>
      <c r="K311" s="123"/>
      <c r="L311" s="123"/>
      <c r="M311" s="123"/>
      <c r="N311" s="123"/>
      <c r="O311" s="123"/>
      <c r="P311" s="123"/>
      <c r="Q311" s="123"/>
      <c r="U311" s="124"/>
      <c r="W311" s="125"/>
      <c r="AJ311" s="126"/>
      <c r="AK311" s="126"/>
      <c r="AL311" s="122"/>
    </row>
    <row r="312">
      <c r="C312" s="90"/>
      <c r="D312" s="90"/>
      <c r="E312" s="90"/>
      <c r="F312" s="90"/>
      <c r="G312" s="90"/>
      <c r="H312" s="123"/>
      <c r="I312" s="123"/>
      <c r="J312" s="123"/>
      <c r="K312" s="123"/>
      <c r="L312" s="123"/>
      <c r="M312" s="123"/>
      <c r="N312" s="123"/>
      <c r="O312" s="123"/>
      <c r="P312" s="123"/>
      <c r="Q312" s="123"/>
      <c r="U312" s="124"/>
      <c r="W312" s="125"/>
      <c r="AJ312" s="126"/>
      <c r="AK312" s="126"/>
      <c r="AL312" s="122"/>
    </row>
    <row r="313">
      <c r="C313" s="90"/>
      <c r="D313" s="90"/>
      <c r="E313" s="90"/>
      <c r="F313" s="90"/>
      <c r="G313" s="90"/>
      <c r="H313" s="123"/>
      <c r="I313" s="123"/>
      <c r="J313" s="123"/>
      <c r="K313" s="123"/>
      <c r="L313" s="123"/>
      <c r="M313" s="123"/>
      <c r="N313" s="123"/>
      <c r="O313" s="123"/>
      <c r="P313" s="123"/>
      <c r="Q313" s="123"/>
      <c r="U313" s="124"/>
      <c r="W313" s="125"/>
      <c r="AJ313" s="126"/>
      <c r="AK313" s="126"/>
      <c r="AL313" s="122"/>
    </row>
    <row r="314">
      <c r="C314" s="90"/>
      <c r="D314" s="90"/>
      <c r="E314" s="90"/>
      <c r="F314" s="90"/>
      <c r="G314" s="90"/>
      <c r="H314" s="123"/>
      <c r="I314" s="123"/>
      <c r="J314" s="123"/>
      <c r="K314" s="123"/>
      <c r="L314" s="123"/>
      <c r="M314" s="123"/>
      <c r="N314" s="123"/>
      <c r="O314" s="123"/>
      <c r="P314" s="123"/>
      <c r="Q314" s="123"/>
      <c r="U314" s="124"/>
      <c r="W314" s="125"/>
      <c r="AJ314" s="126"/>
      <c r="AK314" s="126"/>
      <c r="AL314" s="122"/>
    </row>
    <row r="315">
      <c r="C315" s="90"/>
      <c r="D315" s="90"/>
      <c r="E315" s="90"/>
      <c r="F315" s="90"/>
      <c r="G315" s="90"/>
      <c r="H315" s="123"/>
      <c r="I315" s="123"/>
      <c r="J315" s="123"/>
      <c r="K315" s="123"/>
      <c r="L315" s="123"/>
      <c r="M315" s="123"/>
      <c r="N315" s="123"/>
      <c r="O315" s="123"/>
      <c r="P315" s="123"/>
      <c r="Q315" s="123"/>
      <c r="U315" s="124"/>
      <c r="W315" s="125"/>
      <c r="AJ315" s="126"/>
      <c r="AK315" s="126"/>
      <c r="AL315" s="122"/>
    </row>
    <row r="316">
      <c r="C316" s="90"/>
      <c r="D316" s="90"/>
      <c r="E316" s="90"/>
      <c r="F316" s="90"/>
      <c r="G316" s="90"/>
      <c r="H316" s="123"/>
      <c r="I316" s="123"/>
      <c r="J316" s="123"/>
      <c r="K316" s="123"/>
      <c r="L316" s="123"/>
      <c r="M316" s="123"/>
      <c r="N316" s="123"/>
      <c r="O316" s="123"/>
      <c r="P316" s="123"/>
      <c r="Q316" s="123"/>
      <c r="U316" s="124"/>
      <c r="W316" s="125"/>
      <c r="AJ316" s="126"/>
      <c r="AK316" s="126"/>
      <c r="AL316" s="122"/>
    </row>
    <row r="317">
      <c r="C317" s="90"/>
      <c r="D317" s="90"/>
      <c r="E317" s="90"/>
      <c r="F317" s="90"/>
      <c r="G317" s="90"/>
      <c r="H317" s="123"/>
      <c r="I317" s="123"/>
      <c r="J317" s="123"/>
      <c r="K317" s="123"/>
      <c r="L317" s="123"/>
      <c r="M317" s="123"/>
      <c r="N317" s="123"/>
      <c r="O317" s="123"/>
      <c r="P317" s="123"/>
      <c r="Q317" s="123"/>
      <c r="U317" s="124"/>
      <c r="W317" s="125"/>
      <c r="AJ317" s="126"/>
      <c r="AK317" s="126"/>
      <c r="AL317" s="122"/>
    </row>
    <row r="318">
      <c r="C318" s="90"/>
      <c r="D318" s="90"/>
      <c r="E318" s="90"/>
      <c r="F318" s="90"/>
      <c r="G318" s="90"/>
      <c r="H318" s="123"/>
      <c r="I318" s="123"/>
      <c r="J318" s="123"/>
      <c r="K318" s="123"/>
      <c r="L318" s="123"/>
      <c r="M318" s="123"/>
      <c r="N318" s="123"/>
      <c r="O318" s="123"/>
      <c r="P318" s="123"/>
      <c r="Q318" s="123"/>
      <c r="U318" s="124"/>
      <c r="W318" s="125"/>
      <c r="AJ318" s="126"/>
      <c r="AK318" s="126"/>
      <c r="AL318" s="122"/>
    </row>
    <row r="319">
      <c r="C319" s="90"/>
      <c r="D319" s="90"/>
      <c r="E319" s="90"/>
      <c r="F319" s="90"/>
      <c r="G319" s="90"/>
      <c r="H319" s="123"/>
      <c r="I319" s="123"/>
      <c r="J319" s="123"/>
      <c r="K319" s="123"/>
      <c r="L319" s="123"/>
      <c r="M319" s="123"/>
      <c r="N319" s="123"/>
      <c r="O319" s="123"/>
      <c r="P319" s="123"/>
      <c r="Q319" s="123"/>
      <c r="U319" s="124"/>
      <c r="W319" s="125"/>
      <c r="AJ319" s="126"/>
      <c r="AK319" s="126"/>
      <c r="AL319" s="122"/>
    </row>
    <row r="320">
      <c r="C320" s="90"/>
      <c r="D320" s="90"/>
      <c r="E320" s="90"/>
      <c r="F320" s="90"/>
      <c r="G320" s="90"/>
      <c r="H320" s="123"/>
      <c r="I320" s="123"/>
      <c r="J320" s="123"/>
      <c r="K320" s="123"/>
      <c r="L320" s="123"/>
      <c r="M320" s="123"/>
      <c r="N320" s="123"/>
      <c r="O320" s="123"/>
      <c r="P320" s="123"/>
      <c r="Q320" s="123"/>
      <c r="U320" s="124"/>
      <c r="W320" s="125"/>
      <c r="AJ320" s="126"/>
      <c r="AK320" s="126"/>
      <c r="AL320" s="122"/>
    </row>
    <row r="321">
      <c r="C321" s="90"/>
      <c r="D321" s="90"/>
      <c r="E321" s="90"/>
      <c r="F321" s="90"/>
      <c r="G321" s="90"/>
      <c r="H321" s="123"/>
      <c r="I321" s="123"/>
      <c r="J321" s="123"/>
      <c r="K321" s="123"/>
      <c r="L321" s="123"/>
      <c r="M321" s="123"/>
      <c r="N321" s="123"/>
      <c r="O321" s="123"/>
      <c r="P321" s="123"/>
      <c r="Q321" s="123"/>
      <c r="U321" s="124"/>
      <c r="W321" s="125"/>
      <c r="AJ321" s="126"/>
      <c r="AK321" s="126"/>
      <c r="AL321" s="122"/>
    </row>
    <row r="322">
      <c r="C322" s="90"/>
      <c r="D322" s="90"/>
      <c r="E322" s="90"/>
      <c r="F322" s="90"/>
      <c r="G322" s="90"/>
      <c r="H322" s="123"/>
      <c r="I322" s="123"/>
      <c r="J322" s="123"/>
      <c r="K322" s="123"/>
      <c r="L322" s="123"/>
      <c r="M322" s="123"/>
      <c r="N322" s="123"/>
      <c r="O322" s="123"/>
      <c r="P322" s="123"/>
      <c r="Q322" s="123"/>
      <c r="U322" s="124"/>
      <c r="W322" s="125"/>
      <c r="AJ322" s="126"/>
      <c r="AK322" s="126"/>
      <c r="AL322" s="122"/>
    </row>
    <row r="323">
      <c r="C323" s="90"/>
      <c r="D323" s="90"/>
      <c r="E323" s="90"/>
      <c r="F323" s="90"/>
      <c r="G323" s="90"/>
      <c r="H323" s="123"/>
      <c r="I323" s="123"/>
      <c r="J323" s="123"/>
      <c r="K323" s="123"/>
      <c r="L323" s="123"/>
      <c r="M323" s="123"/>
      <c r="N323" s="123"/>
      <c r="O323" s="123"/>
      <c r="P323" s="123"/>
      <c r="Q323" s="123"/>
      <c r="U323" s="124"/>
      <c r="W323" s="125"/>
      <c r="AJ323" s="126"/>
      <c r="AK323" s="126"/>
      <c r="AL323" s="122"/>
    </row>
    <row r="324">
      <c r="C324" s="90"/>
      <c r="D324" s="90"/>
      <c r="E324" s="90"/>
      <c r="F324" s="90"/>
      <c r="G324" s="90"/>
      <c r="H324" s="123"/>
      <c r="I324" s="123"/>
      <c r="J324" s="123"/>
      <c r="K324" s="123"/>
      <c r="L324" s="123"/>
      <c r="M324" s="123"/>
      <c r="N324" s="123"/>
      <c r="O324" s="123"/>
      <c r="P324" s="123"/>
      <c r="Q324" s="123"/>
      <c r="U324" s="124"/>
      <c r="W324" s="125"/>
      <c r="AJ324" s="126"/>
      <c r="AK324" s="126"/>
      <c r="AL324" s="122"/>
    </row>
    <row r="325">
      <c r="C325" s="90"/>
      <c r="D325" s="90"/>
      <c r="E325" s="90"/>
      <c r="F325" s="90"/>
      <c r="G325" s="90"/>
      <c r="H325" s="123"/>
      <c r="I325" s="123"/>
      <c r="J325" s="123"/>
      <c r="K325" s="123"/>
      <c r="L325" s="123"/>
      <c r="M325" s="123"/>
      <c r="N325" s="123"/>
      <c r="O325" s="123"/>
      <c r="P325" s="123"/>
      <c r="Q325" s="123"/>
      <c r="U325" s="124"/>
      <c r="W325" s="125"/>
      <c r="AJ325" s="126"/>
      <c r="AK325" s="126"/>
      <c r="AL325" s="122"/>
    </row>
    <row r="326">
      <c r="C326" s="90"/>
      <c r="D326" s="90"/>
      <c r="E326" s="90"/>
      <c r="F326" s="90"/>
      <c r="G326" s="90"/>
      <c r="H326" s="123"/>
      <c r="I326" s="123"/>
      <c r="J326" s="123"/>
      <c r="K326" s="123"/>
      <c r="L326" s="123"/>
      <c r="M326" s="123"/>
      <c r="N326" s="123"/>
      <c r="O326" s="123"/>
      <c r="P326" s="123"/>
      <c r="Q326" s="123"/>
      <c r="U326" s="124"/>
      <c r="W326" s="125"/>
      <c r="AJ326" s="126"/>
      <c r="AK326" s="126"/>
      <c r="AL326" s="122"/>
    </row>
    <row r="327">
      <c r="C327" s="90"/>
      <c r="D327" s="90"/>
      <c r="E327" s="90"/>
      <c r="F327" s="90"/>
      <c r="G327" s="90"/>
      <c r="H327" s="123"/>
      <c r="I327" s="123"/>
      <c r="J327" s="123"/>
      <c r="K327" s="123"/>
      <c r="L327" s="123"/>
      <c r="M327" s="123"/>
      <c r="N327" s="123"/>
      <c r="O327" s="123"/>
      <c r="P327" s="123"/>
      <c r="Q327" s="123"/>
      <c r="U327" s="124"/>
      <c r="W327" s="125"/>
      <c r="AJ327" s="126"/>
      <c r="AK327" s="126"/>
      <c r="AL327" s="122"/>
    </row>
    <row r="328">
      <c r="C328" s="90"/>
      <c r="D328" s="90"/>
      <c r="E328" s="90"/>
      <c r="F328" s="90"/>
      <c r="G328" s="90"/>
      <c r="H328" s="123"/>
      <c r="I328" s="123"/>
      <c r="J328" s="123"/>
      <c r="K328" s="123"/>
      <c r="L328" s="123"/>
      <c r="M328" s="123"/>
      <c r="N328" s="123"/>
      <c r="O328" s="123"/>
      <c r="P328" s="123"/>
      <c r="Q328" s="123"/>
      <c r="U328" s="124"/>
      <c r="W328" s="125"/>
      <c r="AJ328" s="126"/>
      <c r="AK328" s="126"/>
      <c r="AL328" s="122"/>
    </row>
    <row r="329">
      <c r="C329" s="90"/>
      <c r="D329" s="90"/>
      <c r="E329" s="90"/>
      <c r="F329" s="90"/>
      <c r="G329" s="90"/>
      <c r="H329" s="123"/>
      <c r="I329" s="123"/>
      <c r="J329" s="123"/>
      <c r="K329" s="123"/>
      <c r="L329" s="123"/>
      <c r="M329" s="123"/>
      <c r="N329" s="123"/>
      <c r="O329" s="123"/>
      <c r="P329" s="123"/>
      <c r="Q329" s="123"/>
      <c r="U329" s="124"/>
      <c r="W329" s="125"/>
      <c r="AJ329" s="126"/>
      <c r="AK329" s="126"/>
      <c r="AL329" s="122"/>
    </row>
    <row r="330">
      <c r="C330" s="90"/>
      <c r="D330" s="90"/>
      <c r="E330" s="90"/>
      <c r="F330" s="90"/>
      <c r="G330" s="90"/>
      <c r="H330" s="123"/>
      <c r="I330" s="123"/>
      <c r="J330" s="123"/>
      <c r="K330" s="123"/>
      <c r="L330" s="123"/>
      <c r="M330" s="123"/>
      <c r="N330" s="123"/>
      <c r="O330" s="123"/>
      <c r="P330" s="123"/>
      <c r="Q330" s="123"/>
      <c r="U330" s="124"/>
      <c r="W330" s="125"/>
      <c r="AJ330" s="126"/>
      <c r="AK330" s="126"/>
      <c r="AL330" s="122"/>
    </row>
    <row r="331">
      <c r="C331" s="90"/>
      <c r="D331" s="90"/>
      <c r="E331" s="90"/>
      <c r="F331" s="90"/>
      <c r="G331" s="90"/>
      <c r="H331" s="123"/>
      <c r="I331" s="123"/>
      <c r="J331" s="123"/>
      <c r="K331" s="123"/>
      <c r="L331" s="123"/>
      <c r="M331" s="123"/>
      <c r="N331" s="123"/>
      <c r="O331" s="123"/>
      <c r="P331" s="123"/>
      <c r="Q331" s="123"/>
      <c r="U331" s="124"/>
      <c r="W331" s="125"/>
      <c r="AJ331" s="126"/>
      <c r="AK331" s="126"/>
      <c r="AL331" s="122"/>
    </row>
    <row r="332">
      <c r="C332" s="90"/>
      <c r="D332" s="90"/>
      <c r="E332" s="90"/>
      <c r="F332" s="90"/>
      <c r="G332" s="90"/>
      <c r="H332" s="123"/>
      <c r="I332" s="123"/>
      <c r="J332" s="123"/>
      <c r="K332" s="123"/>
      <c r="L332" s="123"/>
      <c r="M332" s="123"/>
      <c r="N332" s="123"/>
      <c r="O332" s="123"/>
      <c r="P332" s="123"/>
      <c r="Q332" s="123"/>
      <c r="U332" s="124"/>
      <c r="W332" s="125"/>
      <c r="AJ332" s="126"/>
      <c r="AK332" s="126"/>
      <c r="AL332" s="122"/>
    </row>
    <row r="333">
      <c r="C333" s="90"/>
      <c r="D333" s="90"/>
      <c r="E333" s="90"/>
      <c r="F333" s="90"/>
      <c r="G333" s="90"/>
      <c r="H333" s="123"/>
      <c r="I333" s="123"/>
      <c r="J333" s="123"/>
      <c r="K333" s="123"/>
      <c r="L333" s="123"/>
      <c r="M333" s="123"/>
      <c r="N333" s="123"/>
      <c r="O333" s="123"/>
      <c r="P333" s="123"/>
      <c r="Q333" s="123"/>
      <c r="U333" s="124"/>
      <c r="W333" s="125"/>
      <c r="AJ333" s="126"/>
      <c r="AK333" s="126"/>
      <c r="AL333" s="122"/>
    </row>
    <row r="334">
      <c r="C334" s="90"/>
      <c r="D334" s="90"/>
      <c r="E334" s="90"/>
      <c r="F334" s="90"/>
      <c r="G334" s="90"/>
      <c r="H334" s="123"/>
      <c r="I334" s="123"/>
      <c r="J334" s="123"/>
      <c r="K334" s="123"/>
      <c r="L334" s="123"/>
      <c r="M334" s="123"/>
      <c r="N334" s="123"/>
      <c r="O334" s="123"/>
      <c r="P334" s="123"/>
      <c r="Q334" s="123"/>
      <c r="U334" s="124"/>
      <c r="W334" s="125"/>
      <c r="AJ334" s="126"/>
      <c r="AK334" s="126"/>
      <c r="AL334" s="122"/>
    </row>
    <row r="335">
      <c r="C335" s="90"/>
      <c r="D335" s="90"/>
      <c r="E335" s="90"/>
      <c r="F335" s="90"/>
      <c r="G335" s="90"/>
      <c r="H335" s="123"/>
      <c r="I335" s="123"/>
      <c r="J335" s="123"/>
      <c r="K335" s="123"/>
      <c r="L335" s="123"/>
      <c r="M335" s="123"/>
      <c r="N335" s="123"/>
      <c r="O335" s="123"/>
      <c r="P335" s="123"/>
      <c r="Q335" s="123"/>
      <c r="U335" s="124"/>
      <c r="W335" s="125"/>
      <c r="AJ335" s="126"/>
      <c r="AK335" s="126"/>
      <c r="AL335" s="122"/>
    </row>
    <row r="336">
      <c r="C336" s="90"/>
      <c r="D336" s="90"/>
      <c r="E336" s="90"/>
      <c r="F336" s="90"/>
      <c r="G336" s="90"/>
      <c r="H336" s="123"/>
      <c r="I336" s="123"/>
      <c r="J336" s="123"/>
      <c r="K336" s="123"/>
      <c r="L336" s="123"/>
      <c r="M336" s="123"/>
      <c r="N336" s="123"/>
      <c r="O336" s="123"/>
      <c r="P336" s="123"/>
      <c r="Q336" s="123"/>
      <c r="U336" s="124"/>
      <c r="W336" s="125"/>
      <c r="AJ336" s="126"/>
      <c r="AK336" s="126"/>
      <c r="AL336" s="122"/>
    </row>
    <row r="337">
      <c r="C337" s="90"/>
      <c r="D337" s="90"/>
      <c r="E337" s="90"/>
      <c r="F337" s="90"/>
      <c r="G337" s="90"/>
      <c r="H337" s="123"/>
      <c r="I337" s="123"/>
      <c r="J337" s="123"/>
      <c r="K337" s="123"/>
      <c r="L337" s="123"/>
      <c r="M337" s="123"/>
      <c r="N337" s="123"/>
      <c r="O337" s="123"/>
      <c r="P337" s="123"/>
      <c r="Q337" s="123"/>
      <c r="U337" s="124"/>
      <c r="W337" s="125"/>
      <c r="AJ337" s="126"/>
      <c r="AK337" s="126"/>
      <c r="AL337" s="122"/>
    </row>
    <row r="338">
      <c r="C338" s="90"/>
      <c r="D338" s="90"/>
      <c r="E338" s="90"/>
      <c r="F338" s="90"/>
      <c r="G338" s="90"/>
      <c r="H338" s="123"/>
      <c r="I338" s="123"/>
      <c r="J338" s="123"/>
      <c r="K338" s="123"/>
      <c r="L338" s="123"/>
      <c r="M338" s="123"/>
      <c r="N338" s="123"/>
      <c r="O338" s="123"/>
      <c r="P338" s="123"/>
      <c r="Q338" s="123"/>
      <c r="U338" s="124"/>
      <c r="W338" s="125"/>
      <c r="AJ338" s="126"/>
      <c r="AK338" s="126"/>
      <c r="AL338" s="122"/>
    </row>
    <row r="339">
      <c r="C339" s="90"/>
      <c r="D339" s="90"/>
      <c r="E339" s="90"/>
      <c r="F339" s="90"/>
      <c r="G339" s="90"/>
      <c r="H339" s="123"/>
      <c r="I339" s="123"/>
      <c r="J339" s="123"/>
      <c r="K339" s="123"/>
      <c r="L339" s="123"/>
      <c r="M339" s="123"/>
      <c r="N339" s="123"/>
      <c r="O339" s="123"/>
      <c r="P339" s="123"/>
      <c r="Q339" s="123"/>
      <c r="U339" s="124"/>
      <c r="W339" s="125"/>
      <c r="AJ339" s="126"/>
      <c r="AK339" s="126"/>
      <c r="AL339" s="122"/>
    </row>
    <row r="340">
      <c r="C340" s="90"/>
      <c r="D340" s="90"/>
      <c r="E340" s="90"/>
      <c r="F340" s="90"/>
      <c r="G340" s="90"/>
      <c r="H340" s="123"/>
      <c r="I340" s="123"/>
      <c r="J340" s="123"/>
      <c r="K340" s="123"/>
      <c r="L340" s="123"/>
      <c r="M340" s="123"/>
      <c r="N340" s="123"/>
      <c r="O340" s="123"/>
      <c r="P340" s="123"/>
      <c r="Q340" s="123"/>
      <c r="U340" s="124"/>
      <c r="W340" s="125"/>
      <c r="AJ340" s="126"/>
      <c r="AK340" s="126"/>
      <c r="AL340" s="122"/>
    </row>
    <row r="341">
      <c r="C341" s="90"/>
      <c r="D341" s="90"/>
      <c r="E341" s="90"/>
      <c r="F341" s="90"/>
      <c r="G341" s="90"/>
      <c r="H341" s="123"/>
      <c r="I341" s="123"/>
      <c r="J341" s="123"/>
      <c r="K341" s="123"/>
      <c r="L341" s="123"/>
      <c r="M341" s="123"/>
      <c r="N341" s="123"/>
      <c r="O341" s="123"/>
      <c r="P341" s="123"/>
      <c r="Q341" s="123"/>
      <c r="U341" s="124"/>
      <c r="W341" s="125"/>
      <c r="AJ341" s="126"/>
      <c r="AK341" s="126"/>
      <c r="AL341" s="122"/>
    </row>
    <row r="342">
      <c r="C342" s="90"/>
      <c r="D342" s="90"/>
      <c r="E342" s="90"/>
      <c r="F342" s="90"/>
      <c r="G342" s="90"/>
      <c r="H342" s="123"/>
      <c r="I342" s="123"/>
      <c r="J342" s="123"/>
      <c r="K342" s="123"/>
      <c r="L342" s="123"/>
      <c r="M342" s="123"/>
      <c r="N342" s="123"/>
      <c r="O342" s="123"/>
      <c r="P342" s="123"/>
      <c r="Q342" s="123"/>
      <c r="U342" s="124"/>
      <c r="W342" s="125"/>
      <c r="AJ342" s="126"/>
      <c r="AK342" s="126"/>
      <c r="AL342" s="122"/>
    </row>
    <row r="343">
      <c r="C343" s="90"/>
      <c r="D343" s="90"/>
      <c r="E343" s="90"/>
      <c r="F343" s="90"/>
      <c r="G343" s="90"/>
      <c r="H343" s="123"/>
      <c r="I343" s="123"/>
      <c r="J343" s="123"/>
      <c r="K343" s="123"/>
      <c r="L343" s="123"/>
      <c r="M343" s="123"/>
      <c r="N343" s="123"/>
      <c r="O343" s="123"/>
      <c r="P343" s="123"/>
      <c r="Q343" s="123"/>
      <c r="U343" s="124"/>
      <c r="W343" s="125"/>
      <c r="AJ343" s="126"/>
      <c r="AK343" s="126"/>
      <c r="AL343" s="122"/>
    </row>
    <row r="344">
      <c r="C344" s="90"/>
      <c r="D344" s="90"/>
      <c r="E344" s="90"/>
      <c r="F344" s="90"/>
      <c r="G344" s="90"/>
      <c r="H344" s="123"/>
      <c r="I344" s="123"/>
      <c r="J344" s="123"/>
      <c r="K344" s="123"/>
      <c r="L344" s="123"/>
      <c r="M344" s="123"/>
      <c r="N344" s="123"/>
      <c r="O344" s="123"/>
      <c r="P344" s="123"/>
      <c r="Q344" s="123"/>
      <c r="U344" s="124"/>
      <c r="W344" s="125"/>
      <c r="AJ344" s="126"/>
      <c r="AK344" s="126"/>
      <c r="AL344" s="122"/>
    </row>
    <row r="345">
      <c r="C345" s="90"/>
      <c r="D345" s="90"/>
      <c r="E345" s="90"/>
      <c r="F345" s="90"/>
      <c r="G345" s="90"/>
      <c r="H345" s="123"/>
      <c r="I345" s="123"/>
      <c r="J345" s="123"/>
      <c r="K345" s="123"/>
      <c r="L345" s="123"/>
      <c r="M345" s="123"/>
      <c r="N345" s="123"/>
      <c r="O345" s="123"/>
      <c r="P345" s="123"/>
      <c r="Q345" s="123"/>
      <c r="U345" s="124"/>
      <c r="W345" s="125"/>
      <c r="AJ345" s="126"/>
      <c r="AK345" s="126"/>
      <c r="AL345" s="122"/>
    </row>
    <row r="346">
      <c r="C346" s="90"/>
      <c r="D346" s="90"/>
      <c r="E346" s="90"/>
      <c r="F346" s="90"/>
      <c r="G346" s="90"/>
      <c r="H346" s="123"/>
      <c r="I346" s="123"/>
      <c r="J346" s="123"/>
      <c r="K346" s="123"/>
      <c r="L346" s="123"/>
      <c r="M346" s="123"/>
      <c r="N346" s="123"/>
      <c r="O346" s="123"/>
      <c r="P346" s="123"/>
      <c r="Q346" s="123"/>
      <c r="U346" s="124"/>
      <c r="W346" s="125"/>
      <c r="AJ346" s="126"/>
      <c r="AK346" s="126"/>
      <c r="AL346" s="122"/>
    </row>
    <row r="347">
      <c r="C347" s="90"/>
      <c r="D347" s="90"/>
      <c r="E347" s="90"/>
      <c r="F347" s="90"/>
      <c r="G347" s="90"/>
      <c r="H347" s="123"/>
      <c r="I347" s="123"/>
      <c r="J347" s="123"/>
      <c r="K347" s="123"/>
      <c r="L347" s="123"/>
      <c r="M347" s="123"/>
      <c r="N347" s="123"/>
      <c r="O347" s="123"/>
      <c r="P347" s="123"/>
      <c r="Q347" s="123"/>
      <c r="U347" s="124"/>
      <c r="W347" s="125"/>
      <c r="AJ347" s="126"/>
      <c r="AK347" s="126"/>
      <c r="AL347" s="122"/>
    </row>
    <row r="348">
      <c r="C348" s="90"/>
      <c r="D348" s="90"/>
      <c r="E348" s="90"/>
      <c r="F348" s="90"/>
      <c r="G348" s="90"/>
      <c r="H348" s="123"/>
      <c r="I348" s="123"/>
      <c r="J348" s="123"/>
      <c r="K348" s="123"/>
      <c r="L348" s="123"/>
      <c r="M348" s="123"/>
      <c r="N348" s="123"/>
      <c r="O348" s="123"/>
      <c r="P348" s="123"/>
      <c r="Q348" s="123"/>
      <c r="U348" s="124"/>
      <c r="W348" s="125"/>
      <c r="AJ348" s="126"/>
      <c r="AK348" s="126"/>
      <c r="AL348" s="122"/>
    </row>
    <row r="349">
      <c r="C349" s="90"/>
      <c r="D349" s="90"/>
      <c r="E349" s="90"/>
      <c r="F349" s="90"/>
      <c r="G349" s="90"/>
      <c r="H349" s="123"/>
      <c r="I349" s="123"/>
      <c r="J349" s="123"/>
      <c r="K349" s="123"/>
      <c r="L349" s="123"/>
      <c r="M349" s="123"/>
      <c r="N349" s="123"/>
      <c r="O349" s="123"/>
      <c r="P349" s="123"/>
      <c r="Q349" s="123"/>
      <c r="U349" s="124"/>
      <c r="W349" s="125"/>
      <c r="AJ349" s="126"/>
      <c r="AK349" s="126"/>
      <c r="AL349" s="122"/>
    </row>
    <row r="350">
      <c r="C350" s="90"/>
      <c r="D350" s="90"/>
      <c r="E350" s="90"/>
      <c r="F350" s="90"/>
      <c r="G350" s="90"/>
      <c r="H350" s="123"/>
      <c r="I350" s="123"/>
      <c r="J350" s="123"/>
      <c r="K350" s="123"/>
      <c r="L350" s="123"/>
      <c r="M350" s="123"/>
      <c r="N350" s="123"/>
      <c r="O350" s="123"/>
      <c r="P350" s="123"/>
      <c r="Q350" s="123"/>
      <c r="U350" s="124"/>
      <c r="W350" s="125"/>
      <c r="AJ350" s="126"/>
      <c r="AK350" s="126"/>
      <c r="AL350" s="122"/>
    </row>
    <row r="351">
      <c r="C351" s="90"/>
      <c r="D351" s="90"/>
      <c r="E351" s="90"/>
      <c r="F351" s="90"/>
      <c r="G351" s="90"/>
      <c r="H351" s="123"/>
      <c r="I351" s="123"/>
      <c r="J351" s="123"/>
      <c r="K351" s="123"/>
      <c r="L351" s="123"/>
      <c r="M351" s="123"/>
      <c r="N351" s="123"/>
      <c r="O351" s="123"/>
      <c r="P351" s="123"/>
      <c r="Q351" s="123"/>
      <c r="U351" s="124"/>
      <c r="W351" s="125"/>
      <c r="AJ351" s="126"/>
      <c r="AK351" s="126"/>
      <c r="AL351" s="122"/>
    </row>
    <row r="352">
      <c r="C352" s="90"/>
      <c r="D352" s="90"/>
      <c r="E352" s="90"/>
      <c r="F352" s="90"/>
      <c r="G352" s="90"/>
      <c r="H352" s="123"/>
      <c r="I352" s="123"/>
      <c r="J352" s="123"/>
      <c r="K352" s="123"/>
      <c r="L352" s="123"/>
      <c r="M352" s="123"/>
      <c r="N352" s="123"/>
      <c r="O352" s="123"/>
      <c r="P352" s="123"/>
      <c r="Q352" s="123"/>
      <c r="U352" s="124"/>
      <c r="W352" s="125"/>
      <c r="AJ352" s="126"/>
      <c r="AK352" s="126"/>
      <c r="AL352" s="122"/>
    </row>
    <row r="353">
      <c r="C353" s="90"/>
      <c r="D353" s="90"/>
      <c r="E353" s="90"/>
      <c r="F353" s="90"/>
      <c r="G353" s="90"/>
      <c r="H353" s="123"/>
      <c r="I353" s="123"/>
      <c r="J353" s="123"/>
      <c r="K353" s="123"/>
      <c r="L353" s="123"/>
      <c r="M353" s="123"/>
      <c r="N353" s="123"/>
      <c r="O353" s="123"/>
      <c r="P353" s="123"/>
      <c r="Q353" s="123"/>
      <c r="U353" s="124"/>
      <c r="W353" s="125"/>
      <c r="AJ353" s="126"/>
      <c r="AK353" s="126"/>
      <c r="AL353" s="122"/>
    </row>
    <row r="354">
      <c r="C354" s="90"/>
      <c r="D354" s="90"/>
      <c r="E354" s="90"/>
      <c r="F354" s="90"/>
      <c r="G354" s="90"/>
      <c r="H354" s="123"/>
      <c r="I354" s="123"/>
      <c r="J354" s="123"/>
      <c r="K354" s="123"/>
      <c r="L354" s="123"/>
      <c r="M354" s="123"/>
      <c r="N354" s="123"/>
      <c r="O354" s="123"/>
      <c r="P354" s="123"/>
      <c r="Q354" s="123"/>
      <c r="U354" s="124"/>
      <c r="W354" s="125"/>
      <c r="AJ354" s="126"/>
      <c r="AK354" s="126"/>
      <c r="AL354" s="122"/>
    </row>
    <row r="355">
      <c r="C355" s="90"/>
      <c r="D355" s="90"/>
      <c r="E355" s="90"/>
      <c r="F355" s="90"/>
      <c r="G355" s="90"/>
      <c r="H355" s="123"/>
      <c r="I355" s="123"/>
      <c r="J355" s="123"/>
      <c r="K355" s="123"/>
      <c r="L355" s="123"/>
      <c r="M355" s="123"/>
      <c r="N355" s="123"/>
      <c r="O355" s="123"/>
      <c r="P355" s="123"/>
      <c r="Q355" s="123"/>
      <c r="U355" s="124"/>
      <c r="W355" s="125"/>
      <c r="AJ355" s="126"/>
      <c r="AK355" s="126"/>
      <c r="AL355" s="122"/>
    </row>
    <row r="356">
      <c r="C356" s="90"/>
      <c r="D356" s="90"/>
      <c r="E356" s="90"/>
      <c r="F356" s="90"/>
      <c r="G356" s="90"/>
      <c r="H356" s="123"/>
      <c r="I356" s="123"/>
      <c r="J356" s="123"/>
      <c r="K356" s="123"/>
      <c r="L356" s="123"/>
      <c r="M356" s="123"/>
      <c r="N356" s="123"/>
      <c r="O356" s="123"/>
      <c r="P356" s="123"/>
      <c r="Q356" s="123"/>
      <c r="U356" s="124"/>
      <c r="W356" s="125"/>
      <c r="AJ356" s="126"/>
      <c r="AK356" s="126"/>
      <c r="AL356" s="122"/>
    </row>
    <row r="357">
      <c r="C357" s="90"/>
      <c r="D357" s="90"/>
      <c r="E357" s="90"/>
      <c r="F357" s="90"/>
      <c r="G357" s="90"/>
      <c r="H357" s="123"/>
      <c r="I357" s="123"/>
      <c r="J357" s="123"/>
      <c r="K357" s="123"/>
      <c r="L357" s="123"/>
      <c r="M357" s="123"/>
      <c r="N357" s="123"/>
      <c r="O357" s="123"/>
      <c r="P357" s="123"/>
      <c r="Q357" s="123"/>
      <c r="U357" s="124"/>
      <c r="W357" s="125"/>
      <c r="AJ357" s="126"/>
      <c r="AK357" s="126"/>
      <c r="AL357" s="122"/>
    </row>
    <row r="358">
      <c r="C358" s="90"/>
      <c r="D358" s="90"/>
      <c r="E358" s="90"/>
      <c r="F358" s="90"/>
      <c r="G358" s="90"/>
      <c r="H358" s="123"/>
      <c r="I358" s="123"/>
      <c r="J358" s="123"/>
      <c r="K358" s="123"/>
      <c r="L358" s="123"/>
      <c r="M358" s="123"/>
      <c r="N358" s="123"/>
      <c r="O358" s="123"/>
      <c r="P358" s="123"/>
      <c r="Q358" s="123"/>
      <c r="U358" s="124"/>
      <c r="W358" s="125"/>
      <c r="AJ358" s="126"/>
      <c r="AK358" s="126"/>
      <c r="AL358" s="122"/>
    </row>
    <row r="359">
      <c r="C359" s="90"/>
      <c r="D359" s="90"/>
      <c r="E359" s="90"/>
      <c r="F359" s="90"/>
      <c r="G359" s="90"/>
      <c r="H359" s="123"/>
      <c r="I359" s="123"/>
      <c r="J359" s="123"/>
      <c r="K359" s="123"/>
      <c r="L359" s="123"/>
      <c r="M359" s="123"/>
      <c r="N359" s="123"/>
      <c r="O359" s="123"/>
      <c r="P359" s="123"/>
      <c r="Q359" s="123"/>
      <c r="U359" s="124"/>
      <c r="W359" s="125"/>
      <c r="AJ359" s="126"/>
      <c r="AK359" s="126"/>
      <c r="AL359" s="122"/>
    </row>
    <row r="360">
      <c r="C360" s="90"/>
      <c r="D360" s="90"/>
      <c r="E360" s="90"/>
      <c r="F360" s="90"/>
      <c r="G360" s="90"/>
      <c r="H360" s="123"/>
      <c r="I360" s="123"/>
      <c r="J360" s="123"/>
      <c r="K360" s="123"/>
      <c r="L360" s="123"/>
      <c r="M360" s="123"/>
      <c r="N360" s="123"/>
      <c r="O360" s="123"/>
      <c r="P360" s="123"/>
      <c r="Q360" s="123"/>
      <c r="U360" s="124"/>
      <c r="W360" s="125"/>
      <c r="AJ360" s="126"/>
      <c r="AK360" s="126"/>
      <c r="AL360" s="122"/>
    </row>
    <row r="361">
      <c r="C361" s="90"/>
      <c r="D361" s="90"/>
      <c r="E361" s="90"/>
      <c r="F361" s="90"/>
      <c r="G361" s="90"/>
      <c r="H361" s="123"/>
      <c r="I361" s="123"/>
      <c r="J361" s="123"/>
      <c r="K361" s="123"/>
      <c r="L361" s="123"/>
      <c r="M361" s="123"/>
      <c r="N361" s="123"/>
      <c r="O361" s="123"/>
      <c r="P361" s="123"/>
      <c r="Q361" s="123"/>
      <c r="U361" s="124"/>
      <c r="W361" s="125"/>
      <c r="AJ361" s="126"/>
      <c r="AK361" s="126"/>
      <c r="AL361" s="122"/>
    </row>
    <row r="362">
      <c r="C362" s="90"/>
      <c r="D362" s="90"/>
      <c r="E362" s="90"/>
      <c r="F362" s="90"/>
      <c r="G362" s="90"/>
      <c r="H362" s="123"/>
      <c r="I362" s="123"/>
      <c r="J362" s="123"/>
      <c r="K362" s="123"/>
      <c r="L362" s="123"/>
      <c r="M362" s="123"/>
      <c r="N362" s="123"/>
      <c r="O362" s="123"/>
      <c r="P362" s="123"/>
      <c r="Q362" s="123"/>
      <c r="U362" s="124"/>
      <c r="W362" s="125"/>
      <c r="AJ362" s="126"/>
      <c r="AK362" s="126"/>
      <c r="AL362" s="122"/>
    </row>
    <row r="363">
      <c r="C363" s="90"/>
      <c r="D363" s="90"/>
      <c r="E363" s="90"/>
      <c r="F363" s="90"/>
      <c r="G363" s="90"/>
      <c r="H363" s="123"/>
      <c r="I363" s="123"/>
      <c r="J363" s="123"/>
      <c r="K363" s="123"/>
      <c r="L363" s="123"/>
      <c r="M363" s="123"/>
      <c r="N363" s="123"/>
      <c r="O363" s="123"/>
      <c r="P363" s="123"/>
      <c r="Q363" s="123"/>
      <c r="U363" s="124"/>
      <c r="W363" s="125"/>
      <c r="AJ363" s="126"/>
      <c r="AK363" s="126"/>
      <c r="AL363" s="122"/>
    </row>
    <row r="364">
      <c r="C364" s="90"/>
      <c r="D364" s="90"/>
      <c r="E364" s="90"/>
      <c r="F364" s="90"/>
      <c r="G364" s="90"/>
      <c r="H364" s="123"/>
      <c r="I364" s="123"/>
      <c r="J364" s="123"/>
      <c r="K364" s="123"/>
      <c r="L364" s="123"/>
      <c r="M364" s="123"/>
      <c r="N364" s="123"/>
      <c r="O364" s="123"/>
      <c r="P364" s="123"/>
      <c r="Q364" s="123"/>
      <c r="U364" s="124"/>
      <c r="W364" s="125"/>
      <c r="AJ364" s="126"/>
      <c r="AK364" s="126"/>
      <c r="AL364" s="122"/>
    </row>
    <row r="365">
      <c r="C365" s="90"/>
      <c r="D365" s="90"/>
      <c r="E365" s="90"/>
      <c r="F365" s="90"/>
      <c r="G365" s="90"/>
      <c r="H365" s="123"/>
      <c r="I365" s="123"/>
      <c r="J365" s="123"/>
      <c r="K365" s="123"/>
      <c r="L365" s="123"/>
      <c r="M365" s="123"/>
      <c r="N365" s="123"/>
      <c r="O365" s="123"/>
      <c r="P365" s="123"/>
      <c r="Q365" s="123"/>
      <c r="U365" s="124"/>
      <c r="W365" s="125"/>
      <c r="AJ365" s="126"/>
      <c r="AK365" s="126"/>
      <c r="AL365" s="122"/>
    </row>
    <row r="366">
      <c r="C366" s="90"/>
      <c r="D366" s="90"/>
      <c r="E366" s="90"/>
      <c r="F366" s="90"/>
      <c r="G366" s="90"/>
      <c r="H366" s="123"/>
      <c r="I366" s="123"/>
      <c r="J366" s="123"/>
      <c r="K366" s="123"/>
      <c r="L366" s="123"/>
      <c r="M366" s="123"/>
      <c r="N366" s="123"/>
      <c r="O366" s="123"/>
      <c r="P366" s="123"/>
      <c r="Q366" s="123"/>
      <c r="U366" s="124"/>
      <c r="W366" s="125"/>
      <c r="AJ366" s="126"/>
      <c r="AK366" s="126"/>
      <c r="AL366" s="122"/>
    </row>
    <row r="367">
      <c r="C367" s="90"/>
      <c r="D367" s="90"/>
      <c r="E367" s="90"/>
      <c r="F367" s="90"/>
      <c r="G367" s="90"/>
      <c r="H367" s="123"/>
      <c r="I367" s="123"/>
      <c r="J367" s="123"/>
      <c r="K367" s="123"/>
      <c r="L367" s="123"/>
      <c r="M367" s="123"/>
      <c r="N367" s="123"/>
      <c r="O367" s="123"/>
      <c r="P367" s="123"/>
      <c r="Q367" s="123"/>
      <c r="U367" s="124"/>
      <c r="W367" s="125"/>
      <c r="AJ367" s="126"/>
      <c r="AK367" s="126"/>
      <c r="AL367" s="122"/>
    </row>
    <row r="368">
      <c r="C368" s="90"/>
      <c r="D368" s="90"/>
      <c r="E368" s="90"/>
      <c r="F368" s="90"/>
      <c r="G368" s="90"/>
      <c r="H368" s="123"/>
      <c r="I368" s="123"/>
      <c r="J368" s="123"/>
      <c r="K368" s="123"/>
      <c r="L368" s="123"/>
      <c r="M368" s="123"/>
      <c r="N368" s="123"/>
      <c r="O368" s="123"/>
      <c r="P368" s="123"/>
      <c r="Q368" s="123"/>
      <c r="U368" s="124"/>
      <c r="W368" s="125"/>
      <c r="AJ368" s="126"/>
      <c r="AK368" s="126"/>
      <c r="AL368" s="122"/>
    </row>
    <row r="369">
      <c r="C369" s="90"/>
      <c r="D369" s="90"/>
      <c r="E369" s="90"/>
      <c r="F369" s="90"/>
      <c r="G369" s="90"/>
      <c r="H369" s="123"/>
      <c r="I369" s="123"/>
      <c r="J369" s="123"/>
      <c r="K369" s="123"/>
      <c r="L369" s="123"/>
      <c r="M369" s="123"/>
      <c r="N369" s="123"/>
      <c r="O369" s="123"/>
      <c r="P369" s="123"/>
      <c r="Q369" s="123"/>
      <c r="U369" s="124"/>
      <c r="W369" s="125"/>
      <c r="AJ369" s="126"/>
      <c r="AK369" s="126"/>
      <c r="AL369" s="122"/>
    </row>
    <row r="370">
      <c r="C370" s="90"/>
      <c r="D370" s="90"/>
      <c r="E370" s="90"/>
      <c r="F370" s="90"/>
      <c r="G370" s="90"/>
      <c r="H370" s="123"/>
      <c r="I370" s="123"/>
      <c r="J370" s="123"/>
      <c r="K370" s="123"/>
      <c r="L370" s="123"/>
      <c r="M370" s="123"/>
      <c r="N370" s="123"/>
      <c r="O370" s="123"/>
      <c r="P370" s="123"/>
      <c r="Q370" s="123"/>
      <c r="U370" s="124"/>
      <c r="W370" s="125"/>
      <c r="AJ370" s="126"/>
      <c r="AK370" s="126"/>
      <c r="AL370" s="122"/>
    </row>
    <row r="371">
      <c r="C371" s="90"/>
      <c r="D371" s="90"/>
      <c r="E371" s="90"/>
      <c r="F371" s="90"/>
      <c r="G371" s="90"/>
      <c r="H371" s="123"/>
      <c r="I371" s="123"/>
      <c r="J371" s="123"/>
      <c r="K371" s="123"/>
      <c r="L371" s="123"/>
      <c r="M371" s="123"/>
      <c r="N371" s="123"/>
      <c r="O371" s="123"/>
      <c r="P371" s="123"/>
      <c r="Q371" s="123"/>
      <c r="U371" s="124"/>
      <c r="W371" s="125"/>
      <c r="AJ371" s="126"/>
      <c r="AK371" s="126"/>
      <c r="AL371" s="122"/>
    </row>
    <row r="372">
      <c r="C372" s="90"/>
      <c r="D372" s="90"/>
      <c r="E372" s="90"/>
      <c r="F372" s="90"/>
      <c r="G372" s="90"/>
      <c r="H372" s="123"/>
      <c r="I372" s="123"/>
      <c r="J372" s="123"/>
      <c r="K372" s="123"/>
      <c r="L372" s="123"/>
      <c r="M372" s="123"/>
      <c r="N372" s="123"/>
      <c r="O372" s="123"/>
      <c r="P372" s="123"/>
      <c r="Q372" s="123"/>
      <c r="U372" s="124"/>
      <c r="W372" s="125"/>
      <c r="AJ372" s="126"/>
      <c r="AK372" s="126"/>
      <c r="AL372" s="122"/>
    </row>
    <row r="373">
      <c r="C373" s="90"/>
      <c r="D373" s="90"/>
      <c r="E373" s="90"/>
      <c r="F373" s="90"/>
      <c r="G373" s="90"/>
      <c r="H373" s="123"/>
      <c r="I373" s="123"/>
      <c r="J373" s="123"/>
      <c r="K373" s="123"/>
      <c r="L373" s="123"/>
      <c r="M373" s="123"/>
      <c r="N373" s="123"/>
      <c r="O373" s="123"/>
      <c r="P373" s="123"/>
      <c r="Q373" s="123"/>
      <c r="U373" s="124"/>
      <c r="W373" s="125"/>
      <c r="AJ373" s="126"/>
      <c r="AK373" s="126"/>
      <c r="AL373" s="122"/>
    </row>
    <row r="374">
      <c r="C374" s="90"/>
      <c r="D374" s="90"/>
      <c r="E374" s="90"/>
      <c r="F374" s="90"/>
      <c r="G374" s="90"/>
      <c r="H374" s="123"/>
      <c r="I374" s="123"/>
      <c r="J374" s="123"/>
      <c r="K374" s="123"/>
      <c r="L374" s="123"/>
      <c r="M374" s="123"/>
      <c r="N374" s="123"/>
      <c r="O374" s="123"/>
      <c r="P374" s="123"/>
      <c r="Q374" s="123"/>
      <c r="U374" s="124"/>
      <c r="W374" s="125"/>
      <c r="AJ374" s="126"/>
      <c r="AK374" s="126"/>
      <c r="AL374" s="122"/>
    </row>
    <row r="375">
      <c r="C375" s="90"/>
      <c r="D375" s="90"/>
      <c r="E375" s="90"/>
      <c r="F375" s="90"/>
      <c r="G375" s="90"/>
      <c r="H375" s="123"/>
      <c r="I375" s="123"/>
      <c r="J375" s="123"/>
      <c r="K375" s="123"/>
      <c r="L375" s="123"/>
      <c r="M375" s="123"/>
      <c r="N375" s="123"/>
      <c r="O375" s="123"/>
      <c r="P375" s="123"/>
      <c r="Q375" s="123"/>
      <c r="U375" s="124"/>
      <c r="W375" s="125"/>
      <c r="AJ375" s="126"/>
      <c r="AK375" s="126"/>
      <c r="AL375" s="122"/>
    </row>
    <row r="376">
      <c r="C376" s="90"/>
      <c r="D376" s="90"/>
      <c r="E376" s="90"/>
      <c r="F376" s="90"/>
      <c r="G376" s="90"/>
      <c r="H376" s="123"/>
      <c r="I376" s="123"/>
      <c r="J376" s="123"/>
      <c r="K376" s="123"/>
      <c r="L376" s="123"/>
      <c r="M376" s="123"/>
      <c r="N376" s="123"/>
      <c r="O376" s="123"/>
      <c r="P376" s="123"/>
      <c r="Q376" s="123"/>
      <c r="U376" s="124"/>
      <c r="W376" s="125"/>
      <c r="AJ376" s="126"/>
      <c r="AK376" s="126"/>
      <c r="AL376" s="122"/>
    </row>
    <row r="377">
      <c r="C377" s="90"/>
      <c r="D377" s="90"/>
      <c r="E377" s="90"/>
      <c r="F377" s="90"/>
      <c r="G377" s="90"/>
      <c r="H377" s="123"/>
      <c r="I377" s="123"/>
      <c r="J377" s="123"/>
      <c r="K377" s="123"/>
      <c r="L377" s="123"/>
      <c r="M377" s="123"/>
      <c r="N377" s="123"/>
      <c r="O377" s="123"/>
      <c r="P377" s="123"/>
      <c r="Q377" s="123"/>
      <c r="U377" s="124"/>
      <c r="W377" s="125"/>
      <c r="AJ377" s="126"/>
      <c r="AK377" s="126"/>
      <c r="AL377" s="122"/>
    </row>
    <row r="378">
      <c r="C378" s="90"/>
      <c r="D378" s="90"/>
      <c r="E378" s="90"/>
      <c r="F378" s="90"/>
      <c r="G378" s="90"/>
      <c r="H378" s="123"/>
      <c r="I378" s="123"/>
      <c r="J378" s="123"/>
      <c r="K378" s="123"/>
      <c r="L378" s="123"/>
      <c r="M378" s="123"/>
      <c r="N378" s="123"/>
      <c r="O378" s="123"/>
      <c r="P378" s="123"/>
      <c r="Q378" s="123"/>
      <c r="U378" s="124"/>
      <c r="W378" s="125"/>
      <c r="AJ378" s="126"/>
      <c r="AK378" s="126"/>
      <c r="AL378" s="122"/>
    </row>
    <row r="379">
      <c r="C379" s="90"/>
      <c r="D379" s="90"/>
      <c r="E379" s="90"/>
      <c r="F379" s="90"/>
      <c r="G379" s="90"/>
      <c r="H379" s="123"/>
      <c r="I379" s="123"/>
      <c r="J379" s="123"/>
      <c r="K379" s="123"/>
      <c r="L379" s="123"/>
      <c r="M379" s="123"/>
      <c r="N379" s="123"/>
      <c r="O379" s="123"/>
      <c r="P379" s="123"/>
      <c r="Q379" s="123"/>
      <c r="U379" s="124"/>
      <c r="W379" s="125"/>
      <c r="AJ379" s="126"/>
      <c r="AK379" s="126"/>
      <c r="AL379" s="122"/>
    </row>
    <row r="380">
      <c r="C380" s="90"/>
      <c r="D380" s="90"/>
      <c r="E380" s="90"/>
      <c r="F380" s="90"/>
      <c r="G380" s="90"/>
      <c r="H380" s="123"/>
      <c r="I380" s="123"/>
      <c r="J380" s="123"/>
      <c r="K380" s="123"/>
      <c r="L380" s="123"/>
      <c r="M380" s="123"/>
      <c r="N380" s="123"/>
      <c r="O380" s="123"/>
      <c r="P380" s="123"/>
      <c r="Q380" s="123"/>
      <c r="U380" s="124"/>
      <c r="W380" s="125"/>
      <c r="AJ380" s="126"/>
      <c r="AK380" s="126"/>
      <c r="AL380" s="122"/>
    </row>
    <row r="381">
      <c r="C381" s="90"/>
      <c r="D381" s="90"/>
      <c r="E381" s="90"/>
      <c r="F381" s="90"/>
      <c r="G381" s="90"/>
      <c r="H381" s="123"/>
      <c r="I381" s="123"/>
      <c r="J381" s="123"/>
      <c r="K381" s="123"/>
      <c r="L381" s="123"/>
      <c r="M381" s="123"/>
      <c r="N381" s="123"/>
      <c r="O381" s="123"/>
      <c r="P381" s="123"/>
      <c r="Q381" s="123"/>
      <c r="U381" s="124"/>
      <c r="W381" s="125"/>
      <c r="AJ381" s="126"/>
      <c r="AK381" s="126"/>
      <c r="AL381" s="122"/>
    </row>
    <row r="382">
      <c r="C382" s="90"/>
      <c r="D382" s="90"/>
      <c r="E382" s="90"/>
      <c r="F382" s="90"/>
      <c r="G382" s="90"/>
      <c r="H382" s="123"/>
      <c r="I382" s="123"/>
      <c r="J382" s="123"/>
      <c r="K382" s="123"/>
      <c r="L382" s="123"/>
      <c r="M382" s="123"/>
      <c r="N382" s="123"/>
      <c r="O382" s="123"/>
      <c r="P382" s="123"/>
      <c r="Q382" s="123"/>
      <c r="U382" s="124"/>
      <c r="W382" s="125"/>
      <c r="AJ382" s="126"/>
      <c r="AK382" s="126"/>
      <c r="AL382" s="122"/>
    </row>
    <row r="383">
      <c r="C383" s="90"/>
      <c r="D383" s="90"/>
      <c r="E383" s="90"/>
      <c r="F383" s="90"/>
      <c r="G383" s="90"/>
      <c r="H383" s="123"/>
      <c r="I383" s="123"/>
      <c r="J383" s="123"/>
      <c r="K383" s="123"/>
      <c r="L383" s="123"/>
      <c r="M383" s="123"/>
      <c r="N383" s="123"/>
      <c r="O383" s="123"/>
      <c r="P383" s="123"/>
      <c r="Q383" s="123"/>
      <c r="U383" s="124"/>
      <c r="W383" s="125"/>
      <c r="AJ383" s="126"/>
      <c r="AK383" s="126"/>
      <c r="AL383" s="122"/>
    </row>
    <row r="384">
      <c r="C384" s="90"/>
      <c r="D384" s="90"/>
      <c r="E384" s="90"/>
      <c r="F384" s="90"/>
      <c r="G384" s="90"/>
      <c r="H384" s="123"/>
      <c r="I384" s="123"/>
      <c r="J384" s="123"/>
      <c r="K384" s="123"/>
      <c r="L384" s="123"/>
      <c r="M384" s="123"/>
      <c r="N384" s="123"/>
      <c r="O384" s="123"/>
      <c r="P384" s="123"/>
      <c r="Q384" s="123"/>
      <c r="U384" s="124"/>
      <c r="W384" s="125"/>
      <c r="AJ384" s="126"/>
      <c r="AK384" s="126"/>
      <c r="AL384" s="122"/>
    </row>
    <row r="385">
      <c r="C385" s="90"/>
      <c r="D385" s="90"/>
      <c r="E385" s="90"/>
      <c r="F385" s="90"/>
      <c r="G385" s="90"/>
      <c r="H385" s="123"/>
      <c r="I385" s="123"/>
      <c r="J385" s="123"/>
      <c r="K385" s="123"/>
      <c r="L385" s="123"/>
      <c r="M385" s="123"/>
      <c r="N385" s="123"/>
      <c r="O385" s="123"/>
      <c r="P385" s="123"/>
      <c r="Q385" s="123"/>
      <c r="U385" s="124"/>
      <c r="W385" s="125"/>
      <c r="AJ385" s="126"/>
      <c r="AK385" s="126"/>
      <c r="AL385" s="122"/>
    </row>
    <row r="386">
      <c r="C386" s="90"/>
      <c r="D386" s="90"/>
      <c r="E386" s="90"/>
      <c r="F386" s="90"/>
      <c r="G386" s="90"/>
      <c r="H386" s="123"/>
      <c r="I386" s="123"/>
      <c r="J386" s="123"/>
      <c r="K386" s="123"/>
      <c r="L386" s="123"/>
      <c r="M386" s="123"/>
      <c r="N386" s="123"/>
      <c r="O386" s="123"/>
      <c r="P386" s="123"/>
      <c r="Q386" s="123"/>
      <c r="U386" s="124"/>
      <c r="W386" s="125"/>
      <c r="AJ386" s="126"/>
      <c r="AK386" s="126"/>
      <c r="AL386" s="122"/>
    </row>
    <row r="387">
      <c r="C387" s="90"/>
      <c r="D387" s="90"/>
      <c r="E387" s="90"/>
      <c r="F387" s="90"/>
      <c r="G387" s="90"/>
      <c r="H387" s="123"/>
      <c r="I387" s="123"/>
      <c r="J387" s="123"/>
      <c r="K387" s="123"/>
      <c r="L387" s="123"/>
      <c r="M387" s="123"/>
      <c r="N387" s="123"/>
      <c r="O387" s="123"/>
      <c r="P387" s="123"/>
      <c r="Q387" s="123"/>
      <c r="U387" s="124"/>
      <c r="W387" s="125"/>
      <c r="AJ387" s="126"/>
      <c r="AK387" s="126"/>
      <c r="AL387" s="122"/>
    </row>
    <row r="388">
      <c r="C388" s="90"/>
      <c r="D388" s="90"/>
      <c r="E388" s="90"/>
      <c r="F388" s="90"/>
      <c r="G388" s="90"/>
      <c r="H388" s="123"/>
      <c r="I388" s="123"/>
      <c r="J388" s="123"/>
      <c r="K388" s="123"/>
      <c r="L388" s="123"/>
      <c r="M388" s="123"/>
      <c r="N388" s="123"/>
      <c r="O388" s="123"/>
      <c r="P388" s="123"/>
      <c r="Q388" s="123"/>
      <c r="U388" s="124"/>
      <c r="W388" s="125"/>
      <c r="AJ388" s="126"/>
      <c r="AK388" s="126"/>
      <c r="AL388" s="122"/>
    </row>
    <row r="389">
      <c r="C389" s="90"/>
      <c r="D389" s="90"/>
      <c r="E389" s="90"/>
      <c r="F389" s="90"/>
      <c r="G389" s="90"/>
      <c r="H389" s="123"/>
      <c r="I389" s="123"/>
      <c r="J389" s="123"/>
      <c r="K389" s="123"/>
      <c r="L389" s="123"/>
      <c r="M389" s="123"/>
      <c r="N389" s="123"/>
      <c r="O389" s="123"/>
      <c r="P389" s="123"/>
      <c r="Q389" s="123"/>
      <c r="U389" s="124"/>
      <c r="W389" s="125"/>
      <c r="AJ389" s="126"/>
      <c r="AK389" s="126"/>
      <c r="AL389" s="122"/>
    </row>
    <row r="390">
      <c r="C390" s="90"/>
      <c r="D390" s="90"/>
      <c r="E390" s="90"/>
      <c r="F390" s="90"/>
      <c r="G390" s="90"/>
      <c r="H390" s="123"/>
      <c r="I390" s="123"/>
      <c r="J390" s="123"/>
      <c r="K390" s="123"/>
      <c r="L390" s="123"/>
      <c r="M390" s="123"/>
      <c r="N390" s="123"/>
      <c r="O390" s="123"/>
      <c r="P390" s="123"/>
      <c r="Q390" s="123"/>
      <c r="U390" s="124"/>
      <c r="W390" s="125"/>
      <c r="AJ390" s="126"/>
      <c r="AK390" s="126"/>
      <c r="AL390" s="122"/>
    </row>
    <row r="391">
      <c r="C391" s="90"/>
      <c r="D391" s="90"/>
      <c r="E391" s="90"/>
      <c r="F391" s="90"/>
      <c r="G391" s="90"/>
      <c r="H391" s="123"/>
      <c r="I391" s="123"/>
      <c r="J391" s="123"/>
      <c r="K391" s="123"/>
      <c r="L391" s="123"/>
      <c r="M391" s="123"/>
      <c r="N391" s="123"/>
      <c r="O391" s="123"/>
      <c r="P391" s="123"/>
      <c r="Q391" s="123"/>
      <c r="U391" s="124"/>
      <c r="W391" s="125"/>
      <c r="AJ391" s="126"/>
      <c r="AK391" s="126"/>
      <c r="AL391" s="122"/>
    </row>
    <row r="392">
      <c r="C392" s="90"/>
      <c r="D392" s="90"/>
      <c r="E392" s="90"/>
      <c r="F392" s="90"/>
      <c r="G392" s="90"/>
      <c r="H392" s="123"/>
      <c r="I392" s="123"/>
      <c r="J392" s="123"/>
      <c r="K392" s="123"/>
      <c r="L392" s="123"/>
      <c r="M392" s="123"/>
      <c r="N392" s="123"/>
      <c r="O392" s="123"/>
      <c r="P392" s="123"/>
      <c r="Q392" s="123"/>
      <c r="U392" s="124"/>
      <c r="W392" s="125"/>
      <c r="AJ392" s="126"/>
      <c r="AK392" s="126"/>
      <c r="AL392" s="122"/>
    </row>
    <row r="393">
      <c r="C393" s="90"/>
      <c r="D393" s="90"/>
      <c r="E393" s="90"/>
      <c r="F393" s="90"/>
      <c r="G393" s="90"/>
      <c r="H393" s="123"/>
      <c r="I393" s="123"/>
      <c r="J393" s="123"/>
      <c r="K393" s="123"/>
      <c r="L393" s="123"/>
      <c r="M393" s="123"/>
      <c r="N393" s="123"/>
      <c r="O393" s="123"/>
      <c r="P393" s="123"/>
      <c r="Q393" s="123"/>
      <c r="U393" s="124"/>
      <c r="W393" s="125"/>
      <c r="AJ393" s="126"/>
      <c r="AK393" s="126"/>
      <c r="AL393" s="122"/>
    </row>
    <row r="394">
      <c r="C394" s="90"/>
      <c r="D394" s="90"/>
      <c r="E394" s="90"/>
      <c r="F394" s="90"/>
      <c r="G394" s="90"/>
      <c r="H394" s="123"/>
      <c r="I394" s="123"/>
      <c r="J394" s="123"/>
      <c r="K394" s="123"/>
      <c r="L394" s="123"/>
      <c r="M394" s="123"/>
      <c r="N394" s="123"/>
      <c r="O394" s="123"/>
      <c r="P394" s="123"/>
      <c r="Q394" s="123"/>
      <c r="U394" s="124"/>
      <c r="W394" s="125"/>
      <c r="AJ394" s="126"/>
      <c r="AK394" s="126"/>
      <c r="AL394" s="122"/>
    </row>
    <row r="395">
      <c r="C395" s="90"/>
      <c r="D395" s="90"/>
      <c r="E395" s="90"/>
      <c r="F395" s="90"/>
      <c r="G395" s="90"/>
      <c r="H395" s="123"/>
      <c r="I395" s="123"/>
      <c r="J395" s="123"/>
      <c r="K395" s="123"/>
      <c r="L395" s="123"/>
      <c r="M395" s="123"/>
      <c r="N395" s="123"/>
      <c r="O395" s="123"/>
      <c r="P395" s="123"/>
      <c r="Q395" s="123"/>
      <c r="U395" s="124"/>
      <c r="W395" s="125"/>
      <c r="AJ395" s="126"/>
      <c r="AK395" s="126"/>
      <c r="AL395" s="122"/>
    </row>
    <row r="396">
      <c r="C396" s="90"/>
      <c r="D396" s="90"/>
      <c r="E396" s="90"/>
      <c r="F396" s="90"/>
      <c r="G396" s="90"/>
      <c r="H396" s="123"/>
      <c r="I396" s="123"/>
      <c r="J396" s="123"/>
      <c r="K396" s="123"/>
      <c r="L396" s="123"/>
      <c r="M396" s="123"/>
      <c r="N396" s="123"/>
      <c r="O396" s="123"/>
      <c r="P396" s="123"/>
      <c r="Q396" s="123"/>
      <c r="U396" s="124"/>
      <c r="W396" s="125"/>
      <c r="AJ396" s="126"/>
      <c r="AK396" s="126"/>
      <c r="AL396" s="122"/>
    </row>
    <row r="397">
      <c r="C397" s="90"/>
      <c r="D397" s="90"/>
      <c r="E397" s="90"/>
      <c r="F397" s="90"/>
      <c r="G397" s="90"/>
      <c r="H397" s="123"/>
      <c r="I397" s="123"/>
      <c r="J397" s="123"/>
      <c r="K397" s="123"/>
      <c r="L397" s="123"/>
      <c r="M397" s="123"/>
      <c r="N397" s="123"/>
      <c r="O397" s="123"/>
      <c r="P397" s="123"/>
      <c r="Q397" s="123"/>
      <c r="U397" s="124"/>
      <c r="W397" s="125"/>
      <c r="AJ397" s="126"/>
      <c r="AK397" s="126"/>
      <c r="AL397" s="122"/>
    </row>
    <row r="398">
      <c r="C398" s="90"/>
      <c r="D398" s="90"/>
      <c r="E398" s="90"/>
      <c r="F398" s="90"/>
      <c r="G398" s="90"/>
      <c r="H398" s="123"/>
      <c r="I398" s="123"/>
      <c r="J398" s="123"/>
      <c r="K398" s="123"/>
      <c r="L398" s="123"/>
      <c r="M398" s="123"/>
      <c r="N398" s="123"/>
      <c r="O398" s="123"/>
      <c r="P398" s="123"/>
      <c r="Q398" s="123"/>
      <c r="U398" s="124"/>
      <c r="W398" s="125"/>
      <c r="AJ398" s="126"/>
      <c r="AK398" s="126"/>
      <c r="AL398" s="122"/>
    </row>
    <row r="399">
      <c r="C399" s="90"/>
      <c r="D399" s="90"/>
      <c r="E399" s="90"/>
      <c r="F399" s="90"/>
      <c r="G399" s="90"/>
      <c r="H399" s="123"/>
      <c r="I399" s="123"/>
      <c r="J399" s="123"/>
      <c r="K399" s="123"/>
      <c r="L399" s="123"/>
      <c r="M399" s="123"/>
      <c r="N399" s="123"/>
      <c r="O399" s="123"/>
      <c r="P399" s="123"/>
      <c r="Q399" s="123"/>
      <c r="U399" s="124"/>
      <c r="W399" s="125"/>
      <c r="AJ399" s="126"/>
      <c r="AK399" s="126"/>
      <c r="AL399" s="122"/>
    </row>
    <row r="400">
      <c r="C400" s="90"/>
      <c r="D400" s="90"/>
      <c r="E400" s="90"/>
      <c r="F400" s="90"/>
      <c r="G400" s="90"/>
      <c r="H400" s="123"/>
      <c r="I400" s="123"/>
      <c r="J400" s="123"/>
      <c r="K400" s="123"/>
      <c r="L400" s="123"/>
      <c r="M400" s="123"/>
      <c r="N400" s="123"/>
      <c r="O400" s="123"/>
      <c r="P400" s="123"/>
      <c r="Q400" s="123"/>
      <c r="U400" s="124"/>
      <c r="W400" s="125"/>
      <c r="AJ400" s="126"/>
      <c r="AK400" s="126"/>
      <c r="AL400" s="122"/>
    </row>
    <row r="401">
      <c r="C401" s="90"/>
      <c r="D401" s="90"/>
      <c r="E401" s="90"/>
      <c r="F401" s="90"/>
      <c r="G401" s="90"/>
      <c r="H401" s="123"/>
      <c r="I401" s="123"/>
      <c r="J401" s="123"/>
      <c r="K401" s="123"/>
      <c r="L401" s="123"/>
      <c r="M401" s="123"/>
      <c r="N401" s="123"/>
      <c r="O401" s="123"/>
      <c r="P401" s="123"/>
      <c r="Q401" s="123"/>
      <c r="U401" s="124"/>
      <c r="W401" s="125"/>
      <c r="AJ401" s="126"/>
      <c r="AK401" s="126"/>
      <c r="AL401" s="122"/>
    </row>
    <row r="402">
      <c r="C402" s="90"/>
      <c r="D402" s="90"/>
      <c r="E402" s="90"/>
      <c r="F402" s="90"/>
      <c r="G402" s="90"/>
      <c r="H402" s="123"/>
      <c r="I402" s="123"/>
      <c r="J402" s="123"/>
      <c r="K402" s="123"/>
      <c r="L402" s="123"/>
      <c r="M402" s="123"/>
      <c r="N402" s="123"/>
      <c r="O402" s="123"/>
      <c r="P402" s="123"/>
      <c r="Q402" s="123"/>
      <c r="U402" s="124"/>
      <c r="W402" s="125"/>
      <c r="AJ402" s="126"/>
      <c r="AK402" s="126"/>
      <c r="AL402" s="122"/>
    </row>
    <row r="403">
      <c r="C403" s="90"/>
      <c r="D403" s="90"/>
      <c r="E403" s="90"/>
      <c r="F403" s="90"/>
      <c r="G403" s="90"/>
      <c r="H403" s="123"/>
      <c r="I403" s="123"/>
      <c r="J403" s="123"/>
      <c r="K403" s="123"/>
      <c r="L403" s="123"/>
      <c r="M403" s="123"/>
      <c r="N403" s="123"/>
      <c r="O403" s="123"/>
      <c r="P403" s="123"/>
      <c r="Q403" s="123"/>
      <c r="U403" s="124"/>
      <c r="W403" s="125"/>
      <c r="AJ403" s="126"/>
      <c r="AK403" s="126"/>
      <c r="AL403" s="122"/>
    </row>
    <row r="404">
      <c r="C404" s="90"/>
      <c r="D404" s="90"/>
      <c r="E404" s="90"/>
      <c r="F404" s="90"/>
      <c r="G404" s="90"/>
      <c r="H404" s="123"/>
      <c r="I404" s="123"/>
      <c r="J404" s="123"/>
      <c r="K404" s="123"/>
      <c r="L404" s="123"/>
      <c r="M404" s="123"/>
      <c r="N404" s="123"/>
      <c r="O404" s="123"/>
      <c r="P404" s="123"/>
      <c r="Q404" s="123"/>
      <c r="U404" s="124"/>
      <c r="W404" s="125"/>
      <c r="AJ404" s="126"/>
      <c r="AK404" s="126"/>
      <c r="AL404" s="122"/>
    </row>
    <row r="405">
      <c r="C405" s="90"/>
      <c r="D405" s="90"/>
      <c r="E405" s="90"/>
      <c r="F405" s="90"/>
      <c r="G405" s="90"/>
      <c r="H405" s="123"/>
      <c r="I405" s="123"/>
      <c r="J405" s="123"/>
      <c r="K405" s="123"/>
      <c r="L405" s="123"/>
      <c r="M405" s="123"/>
      <c r="N405" s="123"/>
      <c r="O405" s="123"/>
      <c r="P405" s="123"/>
      <c r="Q405" s="123"/>
      <c r="U405" s="124"/>
      <c r="W405" s="125"/>
      <c r="AJ405" s="126"/>
      <c r="AK405" s="126"/>
      <c r="AL405" s="122"/>
    </row>
    <row r="406">
      <c r="C406" s="90"/>
      <c r="D406" s="90"/>
      <c r="E406" s="90"/>
      <c r="F406" s="90"/>
      <c r="G406" s="90"/>
      <c r="H406" s="123"/>
      <c r="I406" s="123"/>
      <c r="J406" s="123"/>
      <c r="K406" s="123"/>
      <c r="L406" s="123"/>
      <c r="M406" s="123"/>
      <c r="N406" s="123"/>
      <c r="O406" s="123"/>
      <c r="P406" s="123"/>
      <c r="Q406" s="123"/>
      <c r="U406" s="124"/>
      <c r="W406" s="125"/>
      <c r="AJ406" s="126"/>
      <c r="AK406" s="126"/>
      <c r="AL406" s="122"/>
    </row>
    <row r="407">
      <c r="C407" s="90"/>
      <c r="D407" s="90"/>
      <c r="E407" s="90"/>
      <c r="F407" s="90"/>
      <c r="G407" s="90"/>
      <c r="H407" s="123"/>
      <c r="I407" s="123"/>
      <c r="J407" s="123"/>
      <c r="K407" s="123"/>
      <c r="L407" s="123"/>
      <c r="M407" s="123"/>
      <c r="N407" s="123"/>
      <c r="O407" s="123"/>
      <c r="P407" s="123"/>
      <c r="Q407" s="123"/>
      <c r="U407" s="124"/>
      <c r="W407" s="125"/>
      <c r="AJ407" s="126"/>
      <c r="AK407" s="126"/>
      <c r="AL407" s="122"/>
    </row>
    <row r="408">
      <c r="C408" s="90"/>
      <c r="D408" s="90"/>
      <c r="E408" s="90"/>
      <c r="F408" s="90"/>
      <c r="G408" s="90"/>
      <c r="H408" s="123"/>
      <c r="I408" s="123"/>
      <c r="J408" s="123"/>
      <c r="K408" s="123"/>
      <c r="L408" s="123"/>
      <c r="M408" s="123"/>
      <c r="N408" s="123"/>
      <c r="O408" s="123"/>
      <c r="P408" s="123"/>
      <c r="Q408" s="123"/>
      <c r="U408" s="124"/>
      <c r="W408" s="125"/>
      <c r="AJ408" s="126"/>
      <c r="AK408" s="126"/>
      <c r="AL408" s="122"/>
    </row>
    <row r="409">
      <c r="C409" s="90"/>
      <c r="D409" s="90"/>
      <c r="E409" s="90"/>
      <c r="F409" s="90"/>
      <c r="G409" s="90"/>
      <c r="H409" s="123"/>
      <c r="I409" s="123"/>
      <c r="J409" s="123"/>
      <c r="K409" s="123"/>
      <c r="L409" s="123"/>
      <c r="M409" s="123"/>
      <c r="N409" s="123"/>
      <c r="O409" s="123"/>
      <c r="P409" s="123"/>
      <c r="Q409" s="123"/>
      <c r="U409" s="124"/>
      <c r="W409" s="125"/>
      <c r="AJ409" s="126"/>
      <c r="AK409" s="126"/>
      <c r="AL409" s="122"/>
    </row>
    <row r="410">
      <c r="C410" s="90"/>
      <c r="D410" s="90"/>
      <c r="E410" s="90"/>
      <c r="F410" s="90"/>
      <c r="G410" s="90"/>
      <c r="H410" s="123"/>
      <c r="I410" s="123"/>
      <c r="J410" s="123"/>
      <c r="K410" s="123"/>
      <c r="L410" s="123"/>
      <c r="M410" s="123"/>
      <c r="N410" s="123"/>
      <c r="O410" s="123"/>
      <c r="P410" s="123"/>
      <c r="Q410" s="123"/>
      <c r="U410" s="124"/>
      <c r="W410" s="125"/>
      <c r="AJ410" s="126"/>
      <c r="AK410" s="126"/>
      <c r="AL410" s="122"/>
    </row>
    <row r="411">
      <c r="C411" s="90"/>
      <c r="D411" s="90"/>
      <c r="E411" s="90"/>
      <c r="F411" s="90"/>
      <c r="G411" s="90"/>
      <c r="H411" s="123"/>
      <c r="I411" s="123"/>
      <c r="J411" s="123"/>
      <c r="K411" s="123"/>
      <c r="L411" s="123"/>
      <c r="M411" s="123"/>
      <c r="N411" s="123"/>
      <c r="O411" s="123"/>
      <c r="P411" s="123"/>
      <c r="Q411" s="123"/>
      <c r="U411" s="124"/>
      <c r="W411" s="125"/>
      <c r="AJ411" s="126"/>
      <c r="AK411" s="126"/>
      <c r="AL411" s="122"/>
    </row>
    <row r="412">
      <c r="C412" s="90"/>
      <c r="D412" s="90"/>
      <c r="E412" s="90"/>
      <c r="F412" s="90"/>
      <c r="G412" s="90"/>
      <c r="H412" s="123"/>
      <c r="I412" s="123"/>
      <c r="J412" s="123"/>
      <c r="K412" s="123"/>
      <c r="L412" s="123"/>
      <c r="M412" s="123"/>
      <c r="N412" s="123"/>
      <c r="O412" s="123"/>
      <c r="P412" s="123"/>
      <c r="Q412" s="123"/>
      <c r="U412" s="124"/>
      <c r="W412" s="125"/>
      <c r="AJ412" s="126"/>
      <c r="AK412" s="126"/>
      <c r="AL412" s="122"/>
    </row>
    <row r="413">
      <c r="C413" s="90"/>
      <c r="D413" s="90"/>
      <c r="E413" s="90"/>
      <c r="F413" s="90"/>
      <c r="G413" s="90"/>
      <c r="H413" s="123"/>
      <c r="I413" s="123"/>
      <c r="J413" s="123"/>
      <c r="K413" s="123"/>
      <c r="L413" s="123"/>
      <c r="M413" s="123"/>
      <c r="N413" s="123"/>
      <c r="O413" s="123"/>
      <c r="P413" s="123"/>
      <c r="Q413" s="123"/>
      <c r="U413" s="124"/>
      <c r="W413" s="125"/>
      <c r="AJ413" s="126"/>
      <c r="AK413" s="126"/>
      <c r="AL413" s="122"/>
    </row>
    <row r="414">
      <c r="C414" s="90"/>
      <c r="D414" s="90"/>
      <c r="E414" s="90"/>
      <c r="F414" s="90"/>
      <c r="G414" s="90"/>
      <c r="H414" s="123"/>
      <c r="I414" s="123"/>
      <c r="J414" s="123"/>
      <c r="K414" s="123"/>
      <c r="L414" s="123"/>
      <c r="M414" s="123"/>
      <c r="N414" s="123"/>
      <c r="O414" s="123"/>
      <c r="P414" s="123"/>
      <c r="Q414" s="123"/>
      <c r="U414" s="124"/>
      <c r="W414" s="125"/>
      <c r="AJ414" s="126"/>
      <c r="AK414" s="126"/>
      <c r="AL414" s="122"/>
    </row>
    <row r="415">
      <c r="C415" s="90"/>
      <c r="D415" s="90"/>
      <c r="E415" s="90"/>
      <c r="F415" s="90"/>
      <c r="G415" s="90"/>
      <c r="H415" s="123"/>
      <c r="I415" s="123"/>
      <c r="J415" s="123"/>
      <c r="K415" s="123"/>
      <c r="L415" s="123"/>
      <c r="M415" s="123"/>
      <c r="N415" s="123"/>
      <c r="O415" s="123"/>
      <c r="P415" s="123"/>
      <c r="Q415" s="123"/>
      <c r="U415" s="124"/>
      <c r="W415" s="125"/>
      <c r="AJ415" s="126"/>
      <c r="AK415" s="126"/>
      <c r="AL415" s="122"/>
    </row>
    <row r="416">
      <c r="C416" s="90"/>
      <c r="D416" s="90"/>
      <c r="E416" s="90"/>
      <c r="F416" s="90"/>
      <c r="G416" s="90"/>
      <c r="H416" s="123"/>
      <c r="I416" s="123"/>
      <c r="J416" s="123"/>
      <c r="K416" s="123"/>
      <c r="L416" s="123"/>
      <c r="M416" s="123"/>
      <c r="N416" s="123"/>
      <c r="O416" s="123"/>
      <c r="P416" s="123"/>
      <c r="Q416" s="123"/>
      <c r="U416" s="124"/>
      <c r="W416" s="125"/>
      <c r="AJ416" s="126"/>
      <c r="AK416" s="126"/>
      <c r="AL416" s="122"/>
    </row>
    <row r="417">
      <c r="C417" s="90"/>
      <c r="D417" s="90"/>
      <c r="E417" s="90"/>
      <c r="F417" s="90"/>
      <c r="G417" s="90"/>
      <c r="H417" s="123"/>
      <c r="I417" s="123"/>
      <c r="J417" s="123"/>
      <c r="K417" s="123"/>
      <c r="L417" s="123"/>
      <c r="M417" s="123"/>
      <c r="N417" s="123"/>
      <c r="O417" s="123"/>
      <c r="P417" s="123"/>
      <c r="Q417" s="123"/>
      <c r="U417" s="124"/>
      <c r="W417" s="125"/>
      <c r="AJ417" s="126"/>
      <c r="AK417" s="126"/>
      <c r="AL417" s="122"/>
    </row>
    <row r="418">
      <c r="C418" s="90"/>
      <c r="D418" s="90"/>
      <c r="E418" s="90"/>
      <c r="F418" s="90"/>
      <c r="G418" s="90"/>
      <c r="H418" s="123"/>
      <c r="I418" s="123"/>
      <c r="J418" s="123"/>
      <c r="K418" s="123"/>
      <c r="L418" s="123"/>
      <c r="M418" s="123"/>
      <c r="N418" s="123"/>
      <c r="O418" s="123"/>
      <c r="P418" s="123"/>
      <c r="Q418" s="123"/>
      <c r="U418" s="124"/>
      <c r="W418" s="125"/>
      <c r="AJ418" s="126"/>
      <c r="AK418" s="126"/>
      <c r="AL418" s="122"/>
    </row>
    <row r="419">
      <c r="C419" s="90"/>
      <c r="D419" s="90"/>
      <c r="E419" s="90"/>
      <c r="F419" s="90"/>
      <c r="G419" s="90"/>
      <c r="H419" s="123"/>
      <c r="I419" s="123"/>
      <c r="J419" s="123"/>
      <c r="K419" s="123"/>
      <c r="L419" s="123"/>
      <c r="M419" s="123"/>
      <c r="N419" s="123"/>
      <c r="O419" s="123"/>
      <c r="P419" s="123"/>
      <c r="Q419" s="123"/>
      <c r="U419" s="124"/>
      <c r="W419" s="125"/>
      <c r="AJ419" s="126"/>
      <c r="AK419" s="126"/>
      <c r="AL419" s="122"/>
    </row>
    <row r="420">
      <c r="C420" s="90"/>
      <c r="D420" s="90"/>
      <c r="E420" s="90"/>
      <c r="F420" s="90"/>
      <c r="G420" s="90"/>
      <c r="H420" s="123"/>
      <c r="I420" s="123"/>
      <c r="J420" s="123"/>
      <c r="K420" s="123"/>
      <c r="L420" s="123"/>
      <c r="M420" s="123"/>
      <c r="N420" s="123"/>
      <c r="O420" s="123"/>
      <c r="P420" s="123"/>
      <c r="Q420" s="123"/>
      <c r="U420" s="124"/>
      <c r="W420" s="125"/>
      <c r="AJ420" s="126"/>
      <c r="AK420" s="126"/>
      <c r="AL420" s="122"/>
    </row>
    <row r="421">
      <c r="C421" s="90"/>
      <c r="D421" s="90"/>
      <c r="E421" s="90"/>
      <c r="F421" s="90"/>
      <c r="G421" s="90"/>
      <c r="H421" s="123"/>
      <c r="I421" s="123"/>
      <c r="J421" s="123"/>
      <c r="K421" s="123"/>
      <c r="L421" s="123"/>
      <c r="M421" s="123"/>
      <c r="N421" s="123"/>
      <c r="O421" s="123"/>
      <c r="P421" s="123"/>
      <c r="Q421" s="123"/>
      <c r="U421" s="124"/>
      <c r="W421" s="125"/>
      <c r="AJ421" s="126"/>
      <c r="AK421" s="126"/>
      <c r="AL421" s="122"/>
    </row>
    <row r="422">
      <c r="C422" s="90"/>
      <c r="D422" s="90"/>
      <c r="E422" s="90"/>
      <c r="F422" s="90"/>
      <c r="G422" s="90"/>
      <c r="H422" s="123"/>
      <c r="I422" s="123"/>
      <c r="J422" s="123"/>
      <c r="K422" s="123"/>
      <c r="L422" s="123"/>
      <c r="M422" s="123"/>
      <c r="N422" s="123"/>
      <c r="O422" s="123"/>
      <c r="P422" s="123"/>
      <c r="Q422" s="123"/>
      <c r="U422" s="124"/>
      <c r="W422" s="125"/>
      <c r="AJ422" s="126"/>
      <c r="AK422" s="126"/>
      <c r="AL422" s="122"/>
    </row>
    <row r="423">
      <c r="C423" s="90"/>
      <c r="D423" s="90"/>
      <c r="E423" s="90"/>
      <c r="F423" s="90"/>
      <c r="G423" s="90"/>
      <c r="H423" s="123"/>
      <c r="I423" s="123"/>
      <c r="J423" s="123"/>
      <c r="K423" s="123"/>
      <c r="L423" s="123"/>
      <c r="M423" s="123"/>
      <c r="N423" s="123"/>
      <c r="O423" s="123"/>
      <c r="P423" s="123"/>
      <c r="Q423" s="123"/>
      <c r="U423" s="124"/>
      <c r="W423" s="125"/>
      <c r="AJ423" s="126"/>
      <c r="AK423" s="126"/>
      <c r="AL423" s="122"/>
    </row>
    <row r="424">
      <c r="C424" s="90"/>
      <c r="D424" s="90"/>
      <c r="E424" s="90"/>
      <c r="F424" s="90"/>
      <c r="G424" s="90"/>
      <c r="H424" s="123"/>
      <c r="I424" s="123"/>
      <c r="J424" s="123"/>
      <c r="K424" s="123"/>
      <c r="L424" s="123"/>
      <c r="M424" s="123"/>
      <c r="N424" s="123"/>
      <c r="O424" s="123"/>
      <c r="P424" s="123"/>
      <c r="Q424" s="123"/>
      <c r="U424" s="124"/>
      <c r="W424" s="125"/>
      <c r="AJ424" s="126"/>
      <c r="AK424" s="126"/>
      <c r="AL424" s="122"/>
    </row>
    <row r="425">
      <c r="C425" s="90"/>
      <c r="D425" s="90"/>
      <c r="E425" s="90"/>
      <c r="F425" s="90"/>
      <c r="G425" s="90"/>
      <c r="H425" s="123"/>
      <c r="I425" s="123"/>
      <c r="J425" s="123"/>
      <c r="K425" s="123"/>
      <c r="L425" s="123"/>
      <c r="M425" s="123"/>
      <c r="N425" s="123"/>
      <c r="O425" s="123"/>
      <c r="P425" s="123"/>
      <c r="Q425" s="123"/>
      <c r="U425" s="124"/>
      <c r="W425" s="125"/>
      <c r="AJ425" s="126"/>
      <c r="AK425" s="126"/>
      <c r="AL425" s="122"/>
    </row>
    <row r="426">
      <c r="C426" s="90"/>
      <c r="D426" s="90"/>
      <c r="E426" s="90"/>
      <c r="F426" s="90"/>
      <c r="G426" s="90"/>
      <c r="H426" s="123"/>
      <c r="I426" s="123"/>
      <c r="J426" s="123"/>
      <c r="K426" s="123"/>
      <c r="L426" s="123"/>
      <c r="M426" s="123"/>
      <c r="N426" s="123"/>
      <c r="O426" s="123"/>
      <c r="P426" s="123"/>
      <c r="Q426" s="123"/>
      <c r="U426" s="124"/>
      <c r="W426" s="125"/>
      <c r="AJ426" s="126"/>
      <c r="AK426" s="126"/>
      <c r="AL426" s="122"/>
    </row>
    <row r="427">
      <c r="C427" s="90"/>
      <c r="D427" s="90"/>
      <c r="E427" s="90"/>
      <c r="F427" s="90"/>
      <c r="G427" s="90"/>
      <c r="H427" s="123"/>
      <c r="I427" s="123"/>
      <c r="J427" s="123"/>
      <c r="K427" s="123"/>
      <c r="L427" s="123"/>
      <c r="M427" s="123"/>
      <c r="N427" s="123"/>
      <c r="O427" s="123"/>
      <c r="P427" s="123"/>
      <c r="Q427" s="123"/>
      <c r="U427" s="124"/>
      <c r="W427" s="125"/>
      <c r="AJ427" s="126"/>
      <c r="AK427" s="126"/>
      <c r="AL427" s="122"/>
    </row>
    <row r="428">
      <c r="C428" s="90"/>
      <c r="D428" s="90"/>
      <c r="E428" s="90"/>
      <c r="F428" s="90"/>
      <c r="G428" s="90"/>
      <c r="H428" s="123"/>
      <c r="I428" s="123"/>
      <c r="J428" s="123"/>
      <c r="K428" s="123"/>
      <c r="L428" s="123"/>
      <c r="M428" s="123"/>
      <c r="N428" s="123"/>
      <c r="O428" s="123"/>
      <c r="P428" s="123"/>
      <c r="Q428" s="123"/>
      <c r="U428" s="124"/>
      <c r="W428" s="125"/>
      <c r="AJ428" s="126"/>
      <c r="AK428" s="126"/>
      <c r="AL428" s="122"/>
    </row>
    <row r="429">
      <c r="C429" s="90"/>
      <c r="D429" s="90"/>
      <c r="E429" s="90"/>
      <c r="F429" s="90"/>
      <c r="G429" s="90"/>
      <c r="H429" s="123"/>
      <c r="I429" s="123"/>
      <c r="J429" s="123"/>
      <c r="K429" s="123"/>
      <c r="L429" s="123"/>
      <c r="M429" s="123"/>
      <c r="N429" s="123"/>
      <c r="O429" s="123"/>
      <c r="P429" s="123"/>
      <c r="Q429" s="123"/>
      <c r="U429" s="124"/>
      <c r="W429" s="125"/>
      <c r="AJ429" s="126"/>
      <c r="AK429" s="126"/>
      <c r="AL429" s="122"/>
    </row>
    <row r="430">
      <c r="C430" s="90"/>
      <c r="D430" s="90"/>
      <c r="E430" s="90"/>
      <c r="F430" s="90"/>
      <c r="G430" s="90"/>
      <c r="H430" s="123"/>
      <c r="I430" s="123"/>
      <c r="J430" s="123"/>
      <c r="K430" s="123"/>
      <c r="L430" s="123"/>
      <c r="M430" s="123"/>
      <c r="N430" s="123"/>
      <c r="O430" s="123"/>
      <c r="P430" s="123"/>
      <c r="Q430" s="123"/>
      <c r="U430" s="124"/>
      <c r="W430" s="125"/>
      <c r="AJ430" s="126"/>
      <c r="AK430" s="126"/>
      <c r="AL430" s="122"/>
    </row>
    <row r="431">
      <c r="C431" s="90"/>
      <c r="D431" s="90"/>
      <c r="E431" s="90"/>
      <c r="F431" s="90"/>
      <c r="G431" s="90"/>
      <c r="H431" s="123"/>
      <c r="I431" s="123"/>
      <c r="J431" s="123"/>
      <c r="K431" s="123"/>
      <c r="L431" s="123"/>
      <c r="M431" s="123"/>
      <c r="N431" s="123"/>
      <c r="O431" s="123"/>
      <c r="P431" s="123"/>
      <c r="Q431" s="123"/>
      <c r="U431" s="124"/>
      <c r="W431" s="125"/>
      <c r="AJ431" s="126"/>
      <c r="AK431" s="126"/>
      <c r="AL431" s="122"/>
    </row>
    <row r="432">
      <c r="C432" s="90"/>
      <c r="D432" s="90"/>
      <c r="E432" s="90"/>
      <c r="F432" s="90"/>
      <c r="G432" s="90"/>
      <c r="H432" s="123"/>
      <c r="I432" s="123"/>
      <c r="J432" s="123"/>
      <c r="K432" s="123"/>
      <c r="L432" s="123"/>
      <c r="M432" s="123"/>
      <c r="N432" s="123"/>
      <c r="O432" s="123"/>
      <c r="P432" s="123"/>
      <c r="Q432" s="123"/>
      <c r="U432" s="124"/>
      <c r="W432" s="125"/>
      <c r="AJ432" s="126"/>
      <c r="AK432" s="126"/>
      <c r="AL432" s="122"/>
    </row>
    <row r="433">
      <c r="C433" s="90"/>
      <c r="D433" s="90"/>
      <c r="E433" s="90"/>
      <c r="F433" s="90"/>
      <c r="G433" s="90"/>
      <c r="H433" s="123"/>
      <c r="I433" s="123"/>
      <c r="J433" s="123"/>
      <c r="K433" s="123"/>
      <c r="L433" s="123"/>
      <c r="M433" s="123"/>
      <c r="N433" s="123"/>
      <c r="O433" s="123"/>
      <c r="P433" s="123"/>
      <c r="Q433" s="123"/>
      <c r="U433" s="124"/>
      <c r="W433" s="125"/>
      <c r="AJ433" s="126"/>
      <c r="AK433" s="126"/>
      <c r="AL433" s="122"/>
    </row>
    <row r="434">
      <c r="C434" s="90"/>
      <c r="D434" s="90"/>
      <c r="E434" s="90"/>
      <c r="F434" s="90"/>
      <c r="G434" s="90"/>
      <c r="H434" s="123"/>
      <c r="I434" s="123"/>
      <c r="J434" s="123"/>
      <c r="K434" s="123"/>
      <c r="L434" s="123"/>
      <c r="M434" s="123"/>
      <c r="N434" s="123"/>
      <c r="O434" s="123"/>
      <c r="P434" s="123"/>
      <c r="Q434" s="123"/>
      <c r="U434" s="124"/>
      <c r="W434" s="125"/>
      <c r="AJ434" s="126"/>
      <c r="AK434" s="126"/>
      <c r="AL434" s="122"/>
    </row>
    <row r="435">
      <c r="C435" s="90"/>
      <c r="D435" s="90"/>
      <c r="E435" s="90"/>
      <c r="F435" s="90"/>
      <c r="G435" s="90"/>
      <c r="H435" s="123"/>
      <c r="I435" s="123"/>
      <c r="J435" s="123"/>
      <c r="K435" s="123"/>
      <c r="L435" s="123"/>
      <c r="M435" s="123"/>
      <c r="N435" s="123"/>
      <c r="O435" s="123"/>
      <c r="P435" s="123"/>
      <c r="Q435" s="123"/>
      <c r="U435" s="124"/>
      <c r="W435" s="125"/>
      <c r="AJ435" s="126"/>
      <c r="AK435" s="126"/>
      <c r="AL435" s="122"/>
    </row>
    <row r="436">
      <c r="C436" s="90"/>
      <c r="D436" s="90"/>
      <c r="E436" s="90"/>
      <c r="F436" s="90"/>
      <c r="G436" s="90"/>
      <c r="H436" s="123"/>
      <c r="I436" s="123"/>
      <c r="J436" s="123"/>
      <c r="K436" s="123"/>
      <c r="L436" s="123"/>
      <c r="M436" s="123"/>
      <c r="N436" s="123"/>
      <c r="O436" s="123"/>
      <c r="P436" s="123"/>
      <c r="Q436" s="123"/>
      <c r="U436" s="124"/>
      <c r="W436" s="125"/>
      <c r="AJ436" s="126"/>
      <c r="AK436" s="126"/>
      <c r="AL436" s="122"/>
    </row>
    <row r="437">
      <c r="C437" s="90"/>
      <c r="D437" s="90"/>
      <c r="E437" s="90"/>
      <c r="F437" s="90"/>
      <c r="G437" s="90"/>
      <c r="H437" s="123"/>
      <c r="I437" s="123"/>
      <c r="J437" s="123"/>
      <c r="K437" s="123"/>
      <c r="L437" s="123"/>
      <c r="M437" s="123"/>
      <c r="N437" s="123"/>
      <c r="O437" s="123"/>
      <c r="P437" s="123"/>
      <c r="Q437" s="123"/>
      <c r="U437" s="124"/>
      <c r="W437" s="125"/>
      <c r="AJ437" s="126"/>
      <c r="AK437" s="126"/>
      <c r="AL437" s="122"/>
    </row>
    <row r="438">
      <c r="C438" s="90"/>
      <c r="D438" s="90"/>
      <c r="E438" s="90"/>
      <c r="F438" s="90"/>
      <c r="G438" s="90"/>
      <c r="H438" s="123"/>
      <c r="I438" s="123"/>
      <c r="J438" s="123"/>
      <c r="K438" s="123"/>
      <c r="L438" s="123"/>
      <c r="M438" s="123"/>
      <c r="N438" s="123"/>
      <c r="O438" s="123"/>
      <c r="P438" s="123"/>
      <c r="Q438" s="123"/>
      <c r="U438" s="124"/>
      <c r="W438" s="125"/>
      <c r="AJ438" s="126"/>
      <c r="AK438" s="126"/>
      <c r="AL438" s="122"/>
    </row>
    <row r="439">
      <c r="C439" s="90"/>
      <c r="D439" s="90"/>
      <c r="E439" s="90"/>
      <c r="F439" s="90"/>
      <c r="G439" s="90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U439" s="124"/>
      <c r="W439" s="125"/>
      <c r="AJ439" s="126"/>
      <c r="AK439" s="126"/>
      <c r="AL439" s="122"/>
    </row>
    <row r="440">
      <c r="C440" s="90"/>
      <c r="D440" s="90"/>
      <c r="E440" s="90"/>
      <c r="F440" s="90"/>
      <c r="G440" s="90"/>
      <c r="H440" s="123"/>
      <c r="I440" s="123"/>
      <c r="J440" s="123"/>
      <c r="K440" s="123"/>
      <c r="L440" s="123"/>
      <c r="M440" s="123"/>
      <c r="N440" s="123"/>
      <c r="O440" s="123"/>
      <c r="P440" s="123"/>
      <c r="Q440" s="123"/>
      <c r="U440" s="124"/>
      <c r="W440" s="125"/>
      <c r="AJ440" s="126"/>
      <c r="AK440" s="126"/>
      <c r="AL440" s="122"/>
    </row>
    <row r="441">
      <c r="C441" s="90"/>
      <c r="D441" s="90"/>
      <c r="E441" s="90"/>
      <c r="F441" s="90"/>
      <c r="G441" s="90"/>
      <c r="H441" s="123"/>
      <c r="I441" s="123"/>
      <c r="J441" s="123"/>
      <c r="K441" s="123"/>
      <c r="L441" s="123"/>
      <c r="M441" s="123"/>
      <c r="N441" s="123"/>
      <c r="O441" s="123"/>
      <c r="P441" s="123"/>
      <c r="Q441" s="123"/>
      <c r="U441" s="124"/>
      <c r="W441" s="125"/>
      <c r="AJ441" s="126"/>
      <c r="AK441" s="126"/>
      <c r="AL441" s="122"/>
    </row>
    <row r="442">
      <c r="C442" s="90"/>
      <c r="D442" s="90"/>
      <c r="E442" s="90"/>
      <c r="F442" s="90"/>
      <c r="G442" s="90"/>
      <c r="H442" s="123"/>
      <c r="I442" s="123"/>
      <c r="J442" s="123"/>
      <c r="K442" s="123"/>
      <c r="L442" s="123"/>
      <c r="M442" s="123"/>
      <c r="N442" s="123"/>
      <c r="O442" s="123"/>
      <c r="P442" s="123"/>
      <c r="Q442" s="123"/>
      <c r="U442" s="124"/>
      <c r="W442" s="125"/>
      <c r="AJ442" s="126"/>
      <c r="AK442" s="126"/>
      <c r="AL442" s="122"/>
    </row>
    <row r="443">
      <c r="C443" s="90"/>
      <c r="D443" s="90"/>
      <c r="E443" s="90"/>
      <c r="F443" s="90"/>
      <c r="G443" s="90"/>
      <c r="H443" s="123"/>
      <c r="I443" s="123"/>
      <c r="J443" s="123"/>
      <c r="K443" s="123"/>
      <c r="L443" s="123"/>
      <c r="M443" s="123"/>
      <c r="N443" s="123"/>
      <c r="O443" s="123"/>
      <c r="P443" s="123"/>
      <c r="Q443" s="123"/>
      <c r="U443" s="124"/>
      <c r="W443" s="125"/>
      <c r="AJ443" s="126"/>
      <c r="AK443" s="126"/>
      <c r="AL443" s="122"/>
    </row>
    <row r="444">
      <c r="C444" s="90"/>
      <c r="D444" s="90"/>
      <c r="E444" s="90"/>
      <c r="F444" s="90"/>
      <c r="G444" s="90"/>
      <c r="H444" s="123"/>
      <c r="I444" s="123"/>
      <c r="J444" s="123"/>
      <c r="K444" s="123"/>
      <c r="L444" s="123"/>
      <c r="M444" s="123"/>
      <c r="N444" s="123"/>
      <c r="O444" s="123"/>
      <c r="P444" s="123"/>
      <c r="Q444" s="123"/>
      <c r="U444" s="124"/>
      <c r="W444" s="125"/>
      <c r="AJ444" s="126"/>
      <c r="AK444" s="126"/>
      <c r="AL444" s="122"/>
    </row>
    <row r="445">
      <c r="C445" s="90"/>
      <c r="D445" s="90"/>
      <c r="E445" s="90"/>
      <c r="F445" s="90"/>
      <c r="G445" s="90"/>
      <c r="H445" s="123"/>
      <c r="I445" s="123"/>
      <c r="J445" s="123"/>
      <c r="K445" s="123"/>
      <c r="L445" s="123"/>
      <c r="M445" s="123"/>
      <c r="N445" s="123"/>
      <c r="O445" s="123"/>
      <c r="P445" s="123"/>
      <c r="Q445" s="123"/>
      <c r="U445" s="124"/>
      <c r="W445" s="125"/>
      <c r="AJ445" s="126"/>
      <c r="AK445" s="126"/>
      <c r="AL445" s="122"/>
    </row>
    <row r="446">
      <c r="C446" s="90"/>
      <c r="D446" s="90"/>
      <c r="E446" s="90"/>
      <c r="F446" s="90"/>
      <c r="G446" s="90"/>
      <c r="H446" s="123"/>
      <c r="I446" s="123"/>
      <c r="J446" s="123"/>
      <c r="K446" s="123"/>
      <c r="L446" s="123"/>
      <c r="M446" s="123"/>
      <c r="N446" s="123"/>
      <c r="O446" s="123"/>
      <c r="P446" s="123"/>
      <c r="Q446" s="123"/>
      <c r="U446" s="124"/>
      <c r="W446" s="125"/>
      <c r="AJ446" s="126"/>
      <c r="AK446" s="126"/>
      <c r="AL446" s="122"/>
    </row>
    <row r="447">
      <c r="C447" s="90"/>
      <c r="D447" s="90"/>
      <c r="E447" s="90"/>
      <c r="F447" s="90"/>
      <c r="G447" s="90"/>
      <c r="H447" s="123"/>
      <c r="I447" s="123"/>
      <c r="J447" s="123"/>
      <c r="K447" s="123"/>
      <c r="L447" s="123"/>
      <c r="M447" s="123"/>
      <c r="N447" s="123"/>
      <c r="O447" s="123"/>
      <c r="P447" s="123"/>
      <c r="Q447" s="123"/>
      <c r="U447" s="124"/>
      <c r="W447" s="125"/>
      <c r="AJ447" s="126"/>
      <c r="AK447" s="126"/>
      <c r="AL447" s="122"/>
    </row>
    <row r="448">
      <c r="C448" s="90"/>
      <c r="D448" s="90"/>
      <c r="E448" s="90"/>
      <c r="F448" s="90"/>
      <c r="G448" s="90"/>
      <c r="H448" s="123"/>
      <c r="I448" s="123"/>
      <c r="J448" s="123"/>
      <c r="K448" s="123"/>
      <c r="L448" s="123"/>
      <c r="M448" s="123"/>
      <c r="N448" s="123"/>
      <c r="O448" s="123"/>
      <c r="P448" s="123"/>
      <c r="Q448" s="123"/>
      <c r="U448" s="124"/>
      <c r="W448" s="125"/>
      <c r="AJ448" s="126"/>
      <c r="AK448" s="126"/>
      <c r="AL448" s="122"/>
    </row>
    <row r="449">
      <c r="C449" s="90"/>
      <c r="D449" s="90"/>
      <c r="E449" s="90"/>
      <c r="F449" s="90"/>
      <c r="G449" s="90"/>
      <c r="H449" s="123"/>
      <c r="I449" s="123"/>
      <c r="J449" s="123"/>
      <c r="K449" s="123"/>
      <c r="L449" s="123"/>
      <c r="M449" s="123"/>
      <c r="N449" s="123"/>
      <c r="O449" s="123"/>
      <c r="P449" s="123"/>
      <c r="Q449" s="123"/>
      <c r="U449" s="124"/>
      <c r="W449" s="125"/>
      <c r="AJ449" s="126"/>
      <c r="AK449" s="126"/>
      <c r="AL449" s="122"/>
    </row>
    <row r="450">
      <c r="C450" s="90"/>
      <c r="D450" s="90"/>
      <c r="E450" s="90"/>
      <c r="F450" s="90"/>
      <c r="G450" s="90"/>
      <c r="H450" s="123"/>
      <c r="I450" s="123"/>
      <c r="J450" s="123"/>
      <c r="K450" s="123"/>
      <c r="L450" s="123"/>
      <c r="M450" s="123"/>
      <c r="N450" s="123"/>
      <c r="O450" s="123"/>
      <c r="P450" s="123"/>
      <c r="Q450" s="123"/>
      <c r="U450" s="124"/>
      <c r="W450" s="125"/>
      <c r="AJ450" s="126"/>
      <c r="AK450" s="126"/>
      <c r="AL450" s="122"/>
    </row>
    <row r="451">
      <c r="C451" s="90"/>
      <c r="D451" s="90"/>
      <c r="E451" s="90"/>
      <c r="F451" s="90"/>
      <c r="G451" s="90"/>
      <c r="H451" s="123"/>
      <c r="I451" s="123"/>
      <c r="J451" s="123"/>
      <c r="K451" s="123"/>
      <c r="L451" s="123"/>
      <c r="M451" s="123"/>
      <c r="N451" s="123"/>
      <c r="O451" s="123"/>
      <c r="P451" s="123"/>
      <c r="Q451" s="123"/>
      <c r="U451" s="124"/>
      <c r="W451" s="125"/>
      <c r="AJ451" s="126"/>
      <c r="AK451" s="126"/>
      <c r="AL451" s="122"/>
    </row>
    <row r="452">
      <c r="C452" s="90"/>
      <c r="D452" s="90"/>
      <c r="E452" s="90"/>
      <c r="F452" s="90"/>
      <c r="G452" s="90"/>
      <c r="H452" s="123"/>
      <c r="I452" s="123"/>
      <c r="J452" s="123"/>
      <c r="K452" s="123"/>
      <c r="L452" s="123"/>
      <c r="M452" s="123"/>
      <c r="N452" s="123"/>
      <c r="O452" s="123"/>
      <c r="P452" s="123"/>
      <c r="Q452" s="123"/>
      <c r="U452" s="124"/>
      <c r="W452" s="125"/>
      <c r="AJ452" s="126"/>
      <c r="AK452" s="126"/>
      <c r="AL452" s="122"/>
    </row>
    <row r="453">
      <c r="C453" s="90"/>
      <c r="D453" s="90"/>
      <c r="E453" s="90"/>
      <c r="F453" s="90"/>
      <c r="G453" s="90"/>
      <c r="H453" s="123"/>
      <c r="I453" s="123"/>
      <c r="J453" s="123"/>
      <c r="K453" s="123"/>
      <c r="L453" s="123"/>
      <c r="M453" s="123"/>
      <c r="N453" s="123"/>
      <c r="O453" s="123"/>
      <c r="P453" s="123"/>
      <c r="Q453" s="123"/>
      <c r="U453" s="124"/>
      <c r="W453" s="125"/>
      <c r="AJ453" s="126"/>
      <c r="AK453" s="126"/>
      <c r="AL453" s="122"/>
    </row>
    <row r="454">
      <c r="C454" s="90"/>
      <c r="D454" s="90"/>
      <c r="E454" s="90"/>
      <c r="F454" s="90"/>
      <c r="G454" s="90"/>
      <c r="H454" s="123"/>
      <c r="I454" s="123"/>
      <c r="J454" s="123"/>
      <c r="K454" s="123"/>
      <c r="L454" s="123"/>
      <c r="M454" s="123"/>
      <c r="N454" s="123"/>
      <c r="O454" s="123"/>
      <c r="P454" s="123"/>
      <c r="Q454" s="123"/>
      <c r="U454" s="124"/>
      <c r="W454" s="125"/>
      <c r="AJ454" s="126"/>
      <c r="AK454" s="126"/>
      <c r="AL454" s="122"/>
    </row>
    <row r="455">
      <c r="C455" s="90"/>
      <c r="D455" s="90"/>
      <c r="E455" s="90"/>
      <c r="F455" s="90"/>
      <c r="G455" s="90"/>
      <c r="H455" s="123"/>
      <c r="I455" s="123"/>
      <c r="J455" s="123"/>
      <c r="K455" s="123"/>
      <c r="L455" s="123"/>
      <c r="M455" s="123"/>
      <c r="N455" s="123"/>
      <c r="O455" s="123"/>
      <c r="P455" s="123"/>
      <c r="Q455" s="123"/>
      <c r="U455" s="124"/>
      <c r="W455" s="125"/>
      <c r="AJ455" s="126"/>
      <c r="AK455" s="126"/>
      <c r="AL455" s="122"/>
    </row>
    <row r="456">
      <c r="C456" s="90"/>
      <c r="D456" s="90"/>
      <c r="E456" s="90"/>
      <c r="F456" s="90"/>
      <c r="G456" s="90"/>
      <c r="H456" s="123"/>
      <c r="I456" s="123"/>
      <c r="J456" s="123"/>
      <c r="K456" s="123"/>
      <c r="L456" s="123"/>
      <c r="M456" s="123"/>
      <c r="N456" s="123"/>
      <c r="O456" s="123"/>
      <c r="P456" s="123"/>
      <c r="Q456" s="123"/>
      <c r="U456" s="124"/>
      <c r="W456" s="125"/>
      <c r="AJ456" s="126"/>
      <c r="AK456" s="126"/>
      <c r="AL456" s="122"/>
    </row>
    <row r="457">
      <c r="C457" s="90"/>
      <c r="D457" s="90"/>
      <c r="E457" s="90"/>
      <c r="F457" s="90"/>
      <c r="G457" s="90"/>
      <c r="H457" s="123"/>
      <c r="I457" s="123"/>
      <c r="J457" s="123"/>
      <c r="K457" s="123"/>
      <c r="L457" s="123"/>
      <c r="M457" s="123"/>
      <c r="N457" s="123"/>
      <c r="O457" s="123"/>
      <c r="P457" s="123"/>
      <c r="Q457" s="123"/>
      <c r="U457" s="124"/>
      <c r="W457" s="125"/>
      <c r="AJ457" s="126"/>
      <c r="AK457" s="126"/>
      <c r="AL457" s="122"/>
    </row>
    <row r="458">
      <c r="C458" s="90"/>
      <c r="D458" s="90"/>
      <c r="E458" s="90"/>
      <c r="F458" s="90"/>
      <c r="G458" s="90"/>
      <c r="H458" s="123"/>
      <c r="I458" s="123"/>
      <c r="J458" s="123"/>
      <c r="K458" s="123"/>
      <c r="L458" s="123"/>
      <c r="M458" s="123"/>
      <c r="N458" s="123"/>
      <c r="O458" s="123"/>
      <c r="P458" s="123"/>
      <c r="Q458" s="123"/>
      <c r="U458" s="124"/>
      <c r="W458" s="125"/>
      <c r="AJ458" s="126"/>
      <c r="AK458" s="126"/>
      <c r="AL458" s="122"/>
    </row>
    <row r="459">
      <c r="C459" s="90"/>
      <c r="D459" s="90"/>
      <c r="E459" s="90"/>
      <c r="F459" s="90"/>
      <c r="G459" s="90"/>
      <c r="H459" s="123"/>
      <c r="I459" s="123"/>
      <c r="J459" s="123"/>
      <c r="K459" s="123"/>
      <c r="L459" s="123"/>
      <c r="M459" s="123"/>
      <c r="N459" s="123"/>
      <c r="O459" s="123"/>
      <c r="P459" s="123"/>
      <c r="Q459" s="123"/>
      <c r="U459" s="124"/>
      <c r="W459" s="125"/>
      <c r="AJ459" s="126"/>
      <c r="AK459" s="126"/>
      <c r="AL459" s="122"/>
    </row>
    <row r="460">
      <c r="C460" s="90"/>
      <c r="D460" s="90"/>
      <c r="E460" s="90"/>
      <c r="F460" s="90"/>
      <c r="G460" s="90"/>
      <c r="H460" s="123"/>
      <c r="I460" s="123"/>
      <c r="J460" s="123"/>
      <c r="K460" s="123"/>
      <c r="L460" s="123"/>
      <c r="M460" s="123"/>
      <c r="N460" s="123"/>
      <c r="O460" s="123"/>
      <c r="P460" s="123"/>
      <c r="Q460" s="123"/>
      <c r="U460" s="124"/>
      <c r="W460" s="125"/>
      <c r="AJ460" s="126"/>
      <c r="AK460" s="126"/>
      <c r="AL460" s="122"/>
    </row>
    <row r="461">
      <c r="C461" s="90"/>
      <c r="D461" s="90"/>
      <c r="E461" s="90"/>
      <c r="F461" s="90"/>
      <c r="G461" s="90"/>
      <c r="H461" s="123"/>
      <c r="I461" s="123"/>
      <c r="J461" s="123"/>
      <c r="K461" s="123"/>
      <c r="L461" s="123"/>
      <c r="M461" s="123"/>
      <c r="N461" s="123"/>
      <c r="O461" s="123"/>
      <c r="P461" s="123"/>
      <c r="Q461" s="123"/>
      <c r="U461" s="124"/>
      <c r="W461" s="125"/>
      <c r="AJ461" s="126"/>
      <c r="AK461" s="126"/>
      <c r="AL461" s="122"/>
    </row>
    <row r="462">
      <c r="C462" s="90"/>
      <c r="D462" s="90"/>
      <c r="E462" s="90"/>
      <c r="F462" s="90"/>
      <c r="G462" s="90"/>
      <c r="H462" s="123"/>
      <c r="I462" s="123"/>
      <c r="J462" s="123"/>
      <c r="K462" s="123"/>
      <c r="L462" s="123"/>
      <c r="M462" s="123"/>
      <c r="N462" s="123"/>
      <c r="O462" s="123"/>
      <c r="P462" s="123"/>
      <c r="Q462" s="123"/>
      <c r="U462" s="124"/>
      <c r="W462" s="125"/>
      <c r="AJ462" s="126"/>
      <c r="AK462" s="126"/>
      <c r="AL462" s="122"/>
    </row>
    <row r="463">
      <c r="C463" s="90"/>
      <c r="D463" s="90"/>
      <c r="E463" s="90"/>
      <c r="F463" s="90"/>
      <c r="G463" s="90"/>
      <c r="H463" s="123"/>
      <c r="I463" s="123"/>
      <c r="J463" s="123"/>
      <c r="K463" s="123"/>
      <c r="L463" s="123"/>
      <c r="M463" s="123"/>
      <c r="N463" s="123"/>
      <c r="O463" s="123"/>
      <c r="P463" s="123"/>
      <c r="Q463" s="123"/>
      <c r="U463" s="124"/>
      <c r="W463" s="125"/>
      <c r="AJ463" s="126"/>
      <c r="AK463" s="126"/>
      <c r="AL463" s="122"/>
    </row>
    <row r="464">
      <c r="C464" s="90"/>
      <c r="D464" s="90"/>
      <c r="E464" s="90"/>
      <c r="F464" s="90"/>
      <c r="G464" s="90"/>
      <c r="H464" s="123"/>
      <c r="I464" s="123"/>
      <c r="J464" s="123"/>
      <c r="K464" s="123"/>
      <c r="L464" s="123"/>
      <c r="M464" s="123"/>
      <c r="N464" s="123"/>
      <c r="O464" s="123"/>
      <c r="P464" s="123"/>
      <c r="Q464" s="123"/>
      <c r="U464" s="124"/>
      <c r="W464" s="125"/>
      <c r="AJ464" s="126"/>
      <c r="AK464" s="126"/>
      <c r="AL464" s="122"/>
    </row>
    <row r="465">
      <c r="C465" s="90"/>
      <c r="D465" s="90"/>
      <c r="E465" s="90"/>
      <c r="F465" s="90"/>
      <c r="G465" s="90"/>
      <c r="H465" s="123"/>
      <c r="I465" s="123"/>
      <c r="J465" s="123"/>
      <c r="K465" s="123"/>
      <c r="L465" s="123"/>
      <c r="M465" s="123"/>
      <c r="N465" s="123"/>
      <c r="O465" s="123"/>
      <c r="P465" s="123"/>
      <c r="Q465" s="123"/>
      <c r="U465" s="124"/>
      <c r="W465" s="125"/>
      <c r="AJ465" s="126"/>
      <c r="AK465" s="126"/>
      <c r="AL465" s="122"/>
    </row>
    <row r="466">
      <c r="C466" s="90"/>
      <c r="D466" s="90"/>
      <c r="E466" s="90"/>
      <c r="F466" s="90"/>
      <c r="G466" s="90"/>
      <c r="H466" s="123"/>
      <c r="I466" s="123"/>
      <c r="J466" s="123"/>
      <c r="K466" s="123"/>
      <c r="L466" s="123"/>
      <c r="M466" s="123"/>
      <c r="N466" s="123"/>
      <c r="O466" s="123"/>
      <c r="P466" s="123"/>
      <c r="Q466" s="123"/>
      <c r="U466" s="124"/>
      <c r="W466" s="125"/>
      <c r="AJ466" s="126"/>
      <c r="AK466" s="126"/>
      <c r="AL466" s="122"/>
    </row>
    <row r="467">
      <c r="C467" s="90"/>
      <c r="D467" s="90"/>
      <c r="E467" s="90"/>
      <c r="F467" s="90"/>
      <c r="G467" s="90"/>
      <c r="H467" s="123"/>
      <c r="I467" s="123"/>
      <c r="J467" s="123"/>
      <c r="K467" s="123"/>
      <c r="L467" s="123"/>
      <c r="M467" s="123"/>
      <c r="N467" s="123"/>
      <c r="O467" s="123"/>
      <c r="P467" s="123"/>
      <c r="Q467" s="123"/>
      <c r="U467" s="124"/>
      <c r="W467" s="125"/>
      <c r="AJ467" s="126"/>
      <c r="AK467" s="126"/>
      <c r="AL467" s="122"/>
    </row>
    <row r="468">
      <c r="C468" s="90"/>
      <c r="D468" s="90"/>
      <c r="E468" s="90"/>
      <c r="F468" s="90"/>
      <c r="G468" s="90"/>
      <c r="H468" s="123"/>
      <c r="I468" s="123"/>
      <c r="J468" s="123"/>
      <c r="K468" s="123"/>
      <c r="L468" s="123"/>
      <c r="M468" s="123"/>
      <c r="N468" s="123"/>
      <c r="O468" s="123"/>
      <c r="P468" s="123"/>
      <c r="Q468" s="123"/>
      <c r="U468" s="124"/>
      <c r="W468" s="125"/>
      <c r="AJ468" s="126"/>
      <c r="AK468" s="126"/>
      <c r="AL468" s="122"/>
    </row>
    <row r="469">
      <c r="C469" s="90"/>
      <c r="D469" s="90"/>
      <c r="E469" s="90"/>
      <c r="F469" s="90"/>
      <c r="G469" s="90"/>
      <c r="H469" s="123"/>
      <c r="I469" s="123"/>
      <c r="J469" s="123"/>
      <c r="K469" s="123"/>
      <c r="L469" s="123"/>
      <c r="M469" s="123"/>
      <c r="N469" s="123"/>
      <c r="O469" s="123"/>
      <c r="P469" s="123"/>
      <c r="Q469" s="123"/>
      <c r="U469" s="124"/>
      <c r="W469" s="125"/>
      <c r="AJ469" s="126"/>
      <c r="AK469" s="126"/>
      <c r="AL469" s="122"/>
    </row>
    <row r="470">
      <c r="C470" s="90"/>
      <c r="D470" s="90"/>
      <c r="E470" s="90"/>
      <c r="F470" s="90"/>
      <c r="G470" s="90"/>
      <c r="H470" s="123"/>
      <c r="I470" s="123"/>
      <c r="J470" s="123"/>
      <c r="K470" s="123"/>
      <c r="L470" s="123"/>
      <c r="M470" s="123"/>
      <c r="N470" s="123"/>
      <c r="O470" s="123"/>
      <c r="P470" s="123"/>
      <c r="Q470" s="123"/>
      <c r="U470" s="124"/>
      <c r="W470" s="125"/>
      <c r="AJ470" s="126"/>
      <c r="AK470" s="126"/>
      <c r="AL470" s="122"/>
    </row>
    <row r="471">
      <c r="C471" s="90"/>
      <c r="D471" s="90"/>
      <c r="E471" s="90"/>
      <c r="F471" s="90"/>
      <c r="G471" s="90"/>
      <c r="H471" s="123"/>
      <c r="I471" s="123"/>
      <c r="J471" s="123"/>
      <c r="K471" s="123"/>
      <c r="L471" s="123"/>
      <c r="M471" s="123"/>
      <c r="N471" s="123"/>
      <c r="O471" s="123"/>
      <c r="P471" s="123"/>
      <c r="Q471" s="123"/>
      <c r="U471" s="124"/>
      <c r="W471" s="125"/>
      <c r="AJ471" s="126"/>
      <c r="AK471" s="126"/>
      <c r="AL471" s="122"/>
    </row>
    <row r="472">
      <c r="C472" s="90"/>
      <c r="D472" s="90"/>
      <c r="E472" s="90"/>
      <c r="F472" s="90"/>
      <c r="G472" s="90"/>
      <c r="H472" s="123"/>
      <c r="I472" s="123"/>
      <c r="J472" s="123"/>
      <c r="K472" s="123"/>
      <c r="L472" s="123"/>
      <c r="M472" s="123"/>
      <c r="N472" s="123"/>
      <c r="O472" s="123"/>
      <c r="P472" s="123"/>
      <c r="Q472" s="123"/>
      <c r="U472" s="124"/>
      <c r="W472" s="125"/>
      <c r="AJ472" s="126"/>
      <c r="AK472" s="126"/>
      <c r="AL472" s="122"/>
    </row>
    <row r="473">
      <c r="C473" s="90"/>
      <c r="D473" s="90"/>
      <c r="E473" s="90"/>
      <c r="F473" s="90"/>
      <c r="G473" s="90"/>
      <c r="H473" s="123"/>
      <c r="I473" s="123"/>
      <c r="J473" s="123"/>
      <c r="K473" s="123"/>
      <c r="L473" s="123"/>
      <c r="M473" s="123"/>
      <c r="N473" s="123"/>
      <c r="O473" s="123"/>
      <c r="P473" s="123"/>
      <c r="Q473" s="123"/>
      <c r="U473" s="124"/>
      <c r="W473" s="125"/>
      <c r="AJ473" s="126"/>
      <c r="AK473" s="126"/>
      <c r="AL473" s="122"/>
    </row>
    <row r="474">
      <c r="C474" s="90"/>
      <c r="D474" s="90"/>
      <c r="E474" s="90"/>
      <c r="F474" s="90"/>
      <c r="G474" s="90"/>
      <c r="H474" s="123"/>
      <c r="I474" s="123"/>
      <c r="J474" s="123"/>
      <c r="K474" s="123"/>
      <c r="L474" s="123"/>
      <c r="M474" s="123"/>
      <c r="N474" s="123"/>
      <c r="O474" s="123"/>
      <c r="P474" s="123"/>
      <c r="Q474" s="123"/>
      <c r="U474" s="124"/>
      <c r="W474" s="125"/>
      <c r="AJ474" s="126"/>
      <c r="AK474" s="126"/>
      <c r="AL474" s="122"/>
    </row>
    <row r="475">
      <c r="C475" s="90"/>
      <c r="D475" s="90"/>
      <c r="E475" s="90"/>
      <c r="F475" s="90"/>
      <c r="G475" s="90"/>
      <c r="H475" s="123"/>
      <c r="I475" s="123"/>
      <c r="J475" s="123"/>
      <c r="K475" s="123"/>
      <c r="L475" s="123"/>
      <c r="M475" s="123"/>
      <c r="N475" s="123"/>
      <c r="O475" s="123"/>
      <c r="P475" s="123"/>
      <c r="Q475" s="123"/>
      <c r="U475" s="124"/>
      <c r="W475" s="125"/>
      <c r="AJ475" s="126"/>
      <c r="AK475" s="126"/>
      <c r="AL475" s="122"/>
    </row>
    <row r="476">
      <c r="C476" s="90"/>
      <c r="D476" s="90"/>
      <c r="E476" s="90"/>
      <c r="F476" s="90"/>
      <c r="G476" s="90"/>
      <c r="H476" s="123"/>
      <c r="I476" s="123"/>
      <c r="J476" s="123"/>
      <c r="K476" s="123"/>
      <c r="L476" s="123"/>
      <c r="M476" s="123"/>
      <c r="N476" s="123"/>
      <c r="O476" s="123"/>
      <c r="P476" s="123"/>
      <c r="Q476" s="123"/>
      <c r="U476" s="124"/>
      <c r="W476" s="125"/>
      <c r="AJ476" s="126"/>
      <c r="AK476" s="126"/>
      <c r="AL476" s="122"/>
    </row>
    <row r="477">
      <c r="C477" s="90"/>
      <c r="D477" s="90"/>
      <c r="E477" s="90"/>
      <c r="F477" s="90"/>
      <c r="G477" s="90"/>
      <c r="H477" s="123"/>
      <c r="I477" s="123"/>
      <c r="J477" s="123"/>
      <c r="K477" s="123"/>
      <c r="L477" s="123"/>
      <c r="M477" s="123"/>
      <c r="N477" s="123"/>
      <c r="O477" s="123"/>
      <c r="P477" s="123"/>
      <c r="Q477" s="123"/>
      <c r="U477" s="124"/>
      <c r="W477" s="125"/>
      <c r="AJ477" s="126"/>
      <c r="AK477" s="126"/>
      <c r="AL477" s="122"/>
    </row>
    <row r="478">
      <c r="C478" s="90"/>
      <c r="D478" s="90"/>
      <c r="E478" s="90"/>
      <c r="F478" s="90"/>
      <c r="G478" s="90"/>
      <c r="H478" s="123"/>
      <c r="I478" s="123"/>
      <c r="J478" s="123"/>
      <c r="K478" s="123"/>
      <c r="L478" s="123"/>
      <c r="M478" s="123"/>
      <c r="N478" s="123"/>
      <c r="O478" s="123"/>
      <c r="P478" s="123"/>
      <c r="Q478" s="123"/>
      <c r="U478" s="124"/>
      <c r="W478" s="125"/>
      <c r="AJ478" s="126"/>
      <c r="AK478" s="126"/>
      <c r="AL478" s="122"/>
    </row>
    <row r="479">
      <c r="C479" s="90"/>
      <c r="D479" s="90"/>
      <c r="E479" s="90"/>
      <c r="F479" s="90"/>
      <c r="G479" s="90"/>
      <c r="H479" s="123"/>
      <c r="I479" s="123"/>
      <c r="J479" s="123"/>
      <c r="K479" s="123"/>
      <c r="L479" s="123"/>
      <c r="M479" s="123"/>
      <c r="N479" s="123"/>
      <c r="O479" s="123"/>
      <c r="P479" s="123"/>
      <c r="Q479" s="123"/>
      <c r="U479" s="124"/>
      <c r="W479" s="125"/>
      <c r="AJ479" s="126"/>
      <c r="AK479" s="126"/>
      <c r="AL479" s="122"/>
    </row>
    <row r="480">
      <c r="C480" s="90"/>
      <c r="D480" s="90"/>
      <c r="E480" s="90"/>
      <c r="F480" s="90"/>
      <c r="G480" s="90"/>
      <c r="H480" s="123"/>
      <c r="I480" s="123"/>
      <c r="J480" s="123"/>
      <c r="K480" s="123"/>
      <c r="L480" s="123"/>
      <c r="M480" s="123"/>
      <c r="N480" s="123"/>
      <c r="O480" s="123"/>
      <c r="P480" s="123"/>
      <c r="Q480" s="123"/>
      <c r="U480" s="124"/>
      <c r="W480" s="125"/>
      <c r="AJ480" s="126"/>
      <c r="AK480" s="126"/>
      <c r="AL480" s="122"/>
    </row>
    <row r="481">
      <c r="C481" s="90"/>
      <c r="D481" s="90"/>
      <c r="E481" s="90"/>
      <c r="F481" s="90"/>
      <c r="G481" s="90"/>
      <c r="H481" s="123"/>
      <c r="I481" s="123"/>
      <c r="J481" s="123"/>
      <c r="K481" s="123"/>
      <c r="L481" s="123"/>
      <c r="M481" s="123"/>
      <c r="N481" s="123"/>
      <c r="O481" s="123"/>
      <c r="P481" s="123"/>
      <c r="Q481" s="123"/>
      <c r="U481" s="124"/>
      <c r="W481" s="125"/>
      <c r="AJ481" s="126"/>
      <c r="AK481" s="126"/>
      <c r="AL481" s="122"/>
    </row>
    <row r="482">
      <c r="C482" s="90"/>
      <c r="D482" s="90"/>
      <c r="E482" s="90"/>
      <c r="F482" s="90"/>
      <c r="G482" s="90"/>
      <c r="H482" s="123"/>
      <c r="I482" s="123"/>
      <c r="J482" s="123"/>
      <c r="K482" s="123"/>
      <c r="L482" s="123"/>
      <c r="M482" s="123"/>
      <c r="N482" s="123"/>
      <c r="O482" s="123"/>
      <c r="P482" s="123"/>
      <c r="Q482" s="123"/>
      <c r="U482" s="124"/>
      <c r="W482" s="125"/>
      <c r="AJ482" s="126"/>
      <c r="AK482" s="126"/>
      <c r="AL482" s="122"/>
    </row>
    <row r="483">
      <c r="C483" s="90"/>
      <c r="D483" s="90"/>
      <c r="E483" s="90"/>
      <c r="F483" s="90"/>
      <c r="G483" s="90"/>
      <c r="H483" s="123"/>
      <c r="I483" s="123"/>
      <c r="J483" s="123"/>
      <c r="K483" s="123"/>
      <c r="L483" s="123"/>
      <c r="M483" s="123"/>
      <c r="N483" s="123"/>
      <c r="O483" s="123"/>
      <c r="P483" s="123"/>
      <c r="Q483" s="123"/>
      <c r="U483" s="124"/>
      <c r="W483" s="125"/>
      <c r="AJ483" s="126"/>
      <c r="AK483" s="126"/>
      <c r="AL483" s="122"/>
    </row>
    <row r="484">
      <c r="C484" s="90"/>
      <c r="D484" s="90"/>
      <c r="E484" s="90"/>
      <c r="F484" s="90"/>
      <c r="G484" s="90"/>
      <c r="H484" s="123"/>
      <c r="I484" s="123"/>
      <c r="J484" s="123"/>
      <c r="K484" s="123"/>
      <c r="L484" s="123"/>
      <c r="M484" s="123"/>
      <c r="N484" s="123"/>
      <c r="O484" s="123"/>
      <c r="P484" s="123"/>
      <c r="Q484" s="123"/>
      <c r="U484" s="124"/>
      <c r="W484" s="125"/>
      <c r="AJ484" s="126"/>
      <c r="AK484" s="126"/>
      <c r="AL484" s="122"/>
    </row>
    <row r="485">
      <c r="C485" s="90"/>
      <c r="D485" s="90"/>
      <c r="E485" s="90"/>
      <c r="F485" s="90"/>
      <c r="G485" s="90"/>
      <c r="H485" s="123"/>
      <c r="I485" s="123"/>
      <c r="J485" s="123"/>
      <c r="K485" s="123"/>
      <c r="L485" s="123"/>
      <c r="M485" s="123"/>
      <c r="N485" s="123"/>
      <c r="O485" s="123"/>
      <c r="P485" s="123"/>
      <c r="Q485" s="123"/>
      <c r="U485" s="124"/>
      <c r="W485" s="125"/>
      <c r="AJ485" s="126"/>
      <c r="AK485" s="126"/>
      <c r="AL485" s="122"/>
    </row>
    <row r="486">
      <c r="C486" s="90"/>
      <c r="D486" s="90"/>
      <c r="E486" s="90"/>
      <c r="F486" s="90"/>
      <c r="G486" s="90"/>
      <c r="H486" s="123"/>
      <c r="I486" s="123"/>
      <c r="J486" s="123"/>
      <c r="K486" s="123"/>
      <c r="L486" s="123"/>
      <c r="M486" s="123"/>
      <c r="N486" s="123"/>
      <c r="O486" s="123"/>
      <c r="P486" s="123"/>
      <c r="Q486" s="123"/>
      <c r="U486" s="124"/>
      <c r="W486" s="125"/>
      <c r="AJ486" s="126"/>
      <c r="AK486" s="126"/>
      <c r="AL486" s="122"/>
    </row>
    <row r="487">
      <c r="C487" s="90"/>
      <c r="D487" s="90"/>
      <c r="E487" s="90"/>
      <c r="F487" s="90"/>
      <c r="G487" s="90"/>
      <c r="H487" s="123"/>
      <c r="I487" s="123"/>
      <c r="J487" s="123"/>
      <c r="K487" s="123"/>
      <c r="L487" s="123"/>
      <c r="M487" s="123"/>
      <c r="N487" s="123"/>
      <c r="O487" s="123"/>
      <c r="P487" s="123"/>
      <c r="Q487" s="123"/>
      <c r="U487" s="124"/>
      <c r="W487" s="125"/>
      <c r="AJ487" s="126"/>
      <c r="AK487" s="126"/>
      <c r="AL487" s="122"/>
    </row>
    <row r="488">
      <c r="C488" s="90"/>
      <c r="D488" s="90"/>
      <c r="E488" s="90"/>
      <c r="F488" s="90"/>
      <c r="G488" s="90"/>
      <c r="H488" s="123"/>
      <c r="I488" s="123"/>
      <c r="J488" s="123"/>
      <c r="K488" s="123"/>
      <c r="L488" s="123"/>
      <c r="M488" s="123"/>
      <c r="N488" s="123"/>
      <c r="O488" s="123"/>
      <c r="P488" s="123"/>
      <c r="Q488" s="123"/>
      <c r="U488" s="124"/>
      <c r="W488" s="125"/>
      <c r="AJ488" s="126"/>
      <c r="AK488" s="126"/>
      <c r="AL488" s="122"/>
    </row>
    <row r="489">
      <c r="C489" s="90"/>
      <c r="D489" s="90"/>
      <c r="E489" s="90"/>
      <c r="F489" s="90"/>
      <c r="G489" s="90"/>
      <c r="H489" s="123"/>
      <c r="I489" s="123"/>
      <c r="J489" s="123"/>
      <c r="K489" s="123"/>
      <c r="L489" s="123"/>
      <c r="M489" s="123"/>
      <c r="N489" s="123"/>
      <c r="O489" s="123"/>
      <c r="P489" s="123"/>
      <c r="Q489" s="123"/>
      <c r="U489" s="124"/>
      <c r="W489" s="125"/>
      <c r="AJ489" s="126"/>
      <c r="AK489" s="126"/>
      <c r="AL489" s="122"/>
    </row>
    <row r="490">
      <c r="C490" s="90"/>
      <c r="D490" s="90"/>
      <c r="E490" s="90"/>
      <c r="F490" s="90"/>
      <c r="G490" s="90"/>
      <c r="H490" s="123"/>
      <c r="I490" s="123"/>
      <c r="J490" s="123"/>
      <c r="K490" s="123"/>
      <c r="L490" s="123"/>
      <c r="M490" s="123"/>
      <c r="N490" s="123"/>
      <c r="O490" s="123"/>
      <c r="P490" s="123"/>
      <c r="Q490" s="123"/>
      <c r="U490" s="124"/>
      <c r="W490" s="125"/>
      <c r="AJ490" s="126"/>
      <c r="AK490" s="126"/>
      <c r="AL490" s="122"/>
    </row>
    <row r="491">
      <c r="C491" s="90"/>
      <c r="D491" s="90"/>
      <c r="E491" s="90"/>
      <c r="F491" s="90"/>
      <c r="G491" s="90"/>
      <c r="H491" s="123"/>
      <c r="I491" s="123"/>
      <c r="J491" s="123"/>
      <c r="K491" s="123"/>
      <c r="L491" s="123"/>
      <c r="M491" s="123"/>
      <c r="N491" s="123"/>
      <c r="O491" s="123"/>
      <c r="P491" s="123"/>
      <c r="Q491" s="123"/>
      <c r="U491" s="124"/>
      <c r="W491" s="125"/>
      <c r="AJ491" s="126"/>
      <c r="AK491" s="126"/>
      <c r="AL491" s="122"/>
    </row>
    <row r="492">
      <c r="C492" s="90"/>
      <c r="D492" s="90"/>
      <c r="E492" s="90"/>
      <c r="F492" s="90"/>
      <c r="G492" s="90"/>
      <c r="H492" s="123"/>
      <c r="I492" s="123"/>
      <c r="J492" s="123"/>
      <c r="K492" s="123"/>
      <c r="L492" s="123"/>
      <c r="M492" s="123"/>
      <c r="N492" s="123"/>
      <c r="O492" s="123"/>
      <c r="P492" s="123"/>
      <c r="Q492" s="123"/>
      <c r="U492" s="124"/>
      <c r="W492" s="125"/>
      <c r="AJ492" s="126"/>
      <c r="AK492" s="126"/>
      <c r="AL492" s="122"/>
    </row>
    <row r="493">
      <c r="C493" s="90"/>
      <c r="D493" s="90"/>
      <c r="E493" s="90"/>
      <c r="F493" s="90"/>
      <c r="G493" s="90"/>
      <c r="H493" s="123"/>
      <c r="I493" s="123"/>
      <c r="J493" s="123"/>
      <c r="K493" s="123"/>
      <c r="L493" s="123"/>
      <c r="M493" s="123"/>
      <c r="N493" s="123"/>
      <c r="O493" s="123"/>
      <c r="P493" s="123"/>
      <c r="Q493" s="123"/>
      <c r="U493" s="124"/>
      <c r="W493" s="125"/>
      <c r="AJ493" s="126"/>
      <c r="AK493" s="126"/>
      <c r="AL493" s="122"/>
    </row>
    <row r="494">
      <c r="C494" s="90"/>
      <c r="D494" s="90"/>
      <c r="E494" s="90"/>
      <c r="F494" s="90"/>
      <c r="G494" s="90"/>
      <c r="H494" s="123"/>
      <c r="I494" s="123"/>
      <c r="J494" s="123"/>
      <c r="K494" s="123"/>
      <c r="L494" s="123"/>
      <c r="M494" s="123"/>
      <c r="N494" s="123"/>
      <c r="O494" s="123"/>
      <c r="P494" s="123"/>
      <c r="Q494" s="123"/>
      <c r="U494" s="124"/>
      <c r="W494" s="125"/>
      <c r="AJ494" s="126"/>
      <c r="AK494" s="126"/>
      <c r="AL494" s="122"/>
    </row>
    <row r="495">
      <c r="C495" s="90"/>
      <c r="D495" s="90"/>
      <c r="E495" s="90"/>
      <c r="F495" s="90"/>
      <c r="G495" s="90"/>
      <c r="H495" s="123"/>
      <c r="I495" s="123"/>
      <c r="J495" s="123"/>
      <c r="K495" s="123"/>
      <c r="L495" s="123"/>
      <c r="M495" s="123"/>
      <c r="N495" s="123"/>
      <c r="O495" s="123"/>
      <c r="P495" s="123"/>
      <c r="Q495" s="123"/>
      <c r="U495" s="124"/>
      <c r="W495" s="125"/>
      <c r="AJ495" s="126"/>
      <c r="AK495" s="126"/>
      <c r="AL495" s="122"/>
    </row>
    <row r="496">
      <c r="C496" s="90"/>
      <c r="D496" s="90"/>
      <c r="E496" s="90"/>
      <c r="F496" s="90"/>
      <c r="G496" s="90"/>
      <c r="H496" s="123"/>
      <c r="I496" s="123"/>
      <c r="J496" s="123"/>
      <c r="K496" s="123"/>
      <c r="L496" s="123"/>
      <c r="M496" s="123"/>
      <c r="N496" s="123"/>
      <c r="O496" s="123"/>
      <c r="P496" s="123"/>
      <c r="Q496" s="123"/>
      <c r="U496" s="124"/>
      <c r="W496" s="125"/>
      <c r="AJ496" s="126"/>
      <c r="AK496" s="126"/>
      <c r="AL496" s="122"/>
    </row>
    <row r="497">
      <c r="C497" s="90"/>
      <c r="D497" s="90"/>
      <c r="E497" s="90"/>
      <c r="F497" s="90"/>
      <c r="G497" s="90"/>
      <c r="H497" s="123"/>
      <c r="I497" s="123"/>
      <c r="J497" s="123"/>
      <c r="K497" s="123"/>
      <c r="L497" s="123"/>
      <c r="M497" s="123"/>
      <c r="N497" s="123"/>
      <c r="O497" s="123"/>
      <c r="P497" s="123"/>
      <c r="Q497" s="123"/>
      <c r="U497" s="124"/>
      <c r="W497" s="125"/>
      <c r="AJ497" s="126"/>
      <c r="AK497" s="126"/>
      <c r="AL497" s="122"/>
    </row>
    <row r="498">
      <c r="C498" s="90"/>
      <c r="D498" s="90"/>
      <c r="E498" s="90"/>
      <c r="F498" s="90"/>
      <c r="G498" s="90"/>
      <c r="H498" s="123"/>
      <c r="I498" s="123"/>
      <c r="J498" s="123"/>
      <c r="K498" s="123"/>
      <c r="L498" s="123"/>
      <c r="M498" s="123"/>
      <c r="N498" s="123"/>
      <c r="O498" s="123"/>
      <c r="P498" s="123"/>
      <c r="Q498" s="123"/>
      <c r="U498" s="124"/>
      <c r="W498" s="125"/>
      <c r="AJ498" s="126"/>
      <c r="AK498" s="126"/>
      <c r="AL498" s="122"/>
    </row>
    <row r="499">
      <c r="C499" s="90"/>
      <c r="D499" s="90"/>
      <c r="E499" s="90"/>
      <c r="F499" s="90"/>
      <c r="G499" s="90"/>
      <c r="H499" s="123"/>
      <c r="I499" s="123"/>
      <c r="J499" s="123"/>
      <c r="K499" s="123"/>
      <c r="L499" s="123"/>
      <c r="M499" s="123"/>
      <c r="N499" s="123"/>
      <c r="O499" s="123"/>
      <c r="P499" s="123"/>
      <c r="Q499" s="123"/>
      <c r="U499" s="124"/>
      <c r="W499" s="125"/>
      <c r="AJ499" s="126"/>
      <c r="AK499" s="126"/>
      <c r="AL499" s="122"/>
    </row>
    <row r="500">
      <c r="C500" s="90"/>
      <c r="D500" s="90"/>
      <c r="E500" s="90"/>
      <c r="F500" s="90"/>
      <c r="G500" s="90"/>
      <c r="H500" s="123"/>
      <c r="I500" s="123"/>
      <c r="J500" s="123"/>
      <c r="K500" s="123"/>
      <c r="L500" s="123"/>
      <c r="M500" s="123"/>
      <c r="N500" s="123"/>
      <c r="O500" s="123"/>
      <c r="P500" s="123"/>
      <c r="Q500" s="123"/>
      <c r="U500" s="124"/>
      <c r="W500" s="125"/>
      <c r="AJ500" s="126"/>
      <c r="AK500" s="126"/>
      <c r="AL500" s="122"/>
    </row>
    <row r="501">
      <c r="C501" s="90"/>
      <c r="D501" s="90"/>
      <c r="E501" s="90"/>
      <c r="F501" s="90"/>
      <c r="G501" s="90"/>
      <c r="H501" s="123"/>
      <c r="I501" s="123"/>
      <c r="J501" s="123"/>
      <c r="K501" s="123"/>
      <c r="L501" s="123"/>
      <c r="M501" s="123"/>
      <c r="N501" s="123"/>
      <c r="O501" s="123"/>
      <c r="P501" s="123"/>
      <c r="Q501" s="123"/>
      <c r="U501" s="124"/>
      <c r="W501" s="125"/>
      <c r="AJ501" s="126"/>
      <c r="AK501" s="126"/>
      <c r="AL501" s="122"/>
    </row>
    <row r="502">
      <c r="C502" s="90"/>
      <c r="D502" s="90"/>
      <c r="E502" s="90"/>
      <c r="F502" s="90"/>
      <c r="G502" s="90"/>
      <c r="H502" s="123"/>
      <c r="I502" s="123"/>
      <c r="J502" s="123"/>
      <c r="K502" s="123"/>
      <c r="L502" s="123"/>
      <c r="M502" s="123"/>
      <c r="N502" s="123"/>
      <c r="O502" s="123"/>
      <c r="P502" s="123"/>
      <c r="Q502" s="123"/>
      <c r="U502" s="124"/>
      <c r="W502" s="125"/>
      <c r="AJ502" s="126"/>
      <c r="AK502" s="126"/>
      <c r="AL502" s="122"/>
    </row>
    <row r="503">
      <c r="C503" s="90"/>
      <c r="D503" s="90"/>
      <c r="E503" s="90"/>
      <c r="F503" s="90"/>
      <c r="G503" s="90"/>
      <c r="H503" s="123"/>
      <c r="I503" s="123"/>
      <c r="J503" s="123"/>
      <c r="K503" s="123"/>
      <c r="L503" s="123"/>
      <c r="M503" s="123"/>
      <c r="N503" s="123"/>
      <c r="O503" s="123"/>
      <c r="P503" s="123"/>
      <c r="Q503" s="123"/>
      <c r="U503" s="124"/>
      <c r="W503" s="125"/>
      <c r="AJ503" s="126"/>
      <c r="AK503" s="126"/>
      <c r="AL503" s="122"/>
    </row>
    <row r="504">
      <c r="C504" s="90"/>
      <c r="D504" s="90"/>
      <c r="E504" s="90"/>
      <c r="F504" s="90"/>
      <c r="G504" s="90"/>
      <c r="H504" s="123"/>
      <c r="I504" s="123"/>
      <c r="J504" s="123"/>
      <c r="K504" s="123"/>
      <c r="L504" s="123"/>
      <c r="M504" s="123"/>
      <c r="N504" s="123"/>
      <c r="O504" s="123"/>
      <c r="P504" s="123"/>
      <c r="Q504" s="123"/>
      <c r="U504" s="124"/>
      <c r="W504" s="125"/>
      <c r="AJ504" s="126"/>
      <c r="AK504" s="126"/>
      <c r="AL504" s="122"/>
    </row>
    <row r="505">
      <c r="C505" s="90"/>
      <c r="D505" s="90"/>
      <c r="E505" s="90"/>
      <c r="F505" s="90"/>
      <c r="G505" s="90"/>
      <c r="H505" s="123"/>
      <c r="I505" s="123"/>
      <c r="J505" s="123"/>
      <c r="K505" s="123"/>
      <c r="L505" s="123"/>
      <c r="M505" s="123"/>
      <c r="N505" s="123"/>
      <c r="O505" s="123"/>
      <c r="P505" s="123"/>
      <c r="Q505" s="123"/>
      <c r="U505" s="124"/>
      <c r="W505" s="125"/>
      <c r="AJ505" s="126"/>
      <c r="AK505" s="126"/>
      <c r="AL505" s="122"/>
    </row>
    <row r="506">
      <c r="C506" s="90"/>
      <c r="D506" s="90"/>
      <c r="E506" s="90"/>
      <c r="F506" s="90"/>
      <c r="G506" s="90"/>
      <c r="H506" s="123"/>
      <c r="I506" s="123"/>
      <c r="J506" s="123"/>
      <c r="K506" s="123"/>
      <c r="L506" s="123"/>
      <c r="M506" s="123"/>
      <c r="N506" s="123"/>
      <c r="O506" s="123"/>
      <c r="P506" s="123"/>
      <c r="Q506" s="123"/>
      <c r="U506" s="124"/>
      <c r="W506" s="125"/>
      <c r="AJ506" s="126"/>
      <c r="AK506" s="126"/>
      <c r="AL506" s="122"/>
    </row>
    <row r="507">
      <c r="C507" s="90"/>
      <c r="D507" s="90"/>
      <c r="E507" s="90"/>
      <c r="F507" s="90"/>
      <c r="G507" s="90"/>
      <c r="H507" s="123"/>
      <c r="I507" s="123"/>
      <c r="J507" s="123"/>
      <c r="K507" s="123"/>
      <c r="L507" s="123"/>
      <c r="M507" s="123"/>
      <c r="N507" s="123"/>
      <c r="O507" s="123"/>
      <c r="P507" s="123"/>
      <c r="Q507" s="123"/>
      <c r="U507" s="124"/>
      <c r="W507" s="125"/>
      <c r="AJ507" s="126"/>
      <c r="AK507" s="126"/>
      <c r="AL507" s="122"/>
    </row>
    <row r="508">
      <c r="C508" s="90"/>
      <c r="D508" s="90"/>
      <c r="E508" s="90"/>
      <c r="F508" s="90"/>
      <c r="G508" s="90"/>
      <c r="H508" s="123"/>
      <c r="I508" s="123"/>
      <c r="J508" s="123"/>
      <c r="K508" s="123"/>
      <c r="L508" s="123"/>
      <c r="M508" s="123"/>
      <c r="N508" s="123"/>
      <c r="O508" s="123"/>
      <c r="P508" s="123"/>
      <c r="Q508" s="123"/>
      <c r="U508" s="124"/>
      <c r="W508" s="125"/>
      <c r="AJ508" s="126"/>
      <c r="AK508" s="126"/>
      <c r="AL508" s="122"/>
    </row>
    <row r="509">
      <c r="C509" s="90"/>
      <c r="D509" s="90"/>
      <c r="E509" s="90"/>
      <c r="F509" s="90"/>
      <c r="G509" s="90"/>
      <c r="H509" s="123"/>
      <c r="I509" s="123"/>
      <c r="J509" s="123"/>
      <c r="K509" s="123"/>
      <c r="L509" s="123"/>
      <c r="M509" s="123"/>
      <c r="N509" s="123"/>
      <c r="O509" s="123"/>
      <c r="P509" s="123"/>
      <c r="Q509" s="123"/>
      <c r="U509" s="124"/>
      <c r="W509" s="125"/>
      <c r="AJ509" s="126"/>
      <c r="AK509" s="126"/>
      <c r="AL509" s="122"/>
    </row>
    <row r="510">
      <c r="C510" s="90"/>
      <c r="D510" s="90"/>
      <c r="E510" s="90"/>
      <c r="F510" s="90"/>
      <c r="G510" s="90"/>
      <c r="H510" s="123"/>
      <c r="I510" s="123"/>
      <c r="J510" s="123"/>
      <c r="K510" s="123"/>
      <c r="L510" s="123"/>
      <c r="M510" s="123"/>
      <c r="N510" s="123"/>
      <c r="O510" s="123"/>
      <c r="P510" s="123"/>
      <c r="Q510" s="123"/>
      <c r="U510" s="124"/>
      <c r="W510" s="125"/>
      <c r="AJ510" s="126"/>
      <c r="AK510" s="126"/>
      <c r="AL510" s="122"/>
    </row>
    <row r="511">
      <c r="C511" s="90"/>
      <c r="D511" s="90"/>
      <c r="E511" s="90"/>
      <c r="F511" s="90"/>
      <c r="G511" s="90"/>
      <c r="H511" s="123"/>
      <c r="I511" s="123"/>
      <c r="J511" s="123"/>
      <c r="K511" s="123"/>
      <c r="L511" s="123"/>
      <c r="M511" s="123"/>
      <c r="N511" s="123"/>
      <c r="O511" s="123"/>
      <c r="P511" s="123"/>
      <c r="Q511" s="123"/>
      <c r="U511" s="124"/>
      <c r="W511" s="125"/>
      <c r="AJ511" s="126"/>
      <c r="AK511" s="126"/>
      <c r="AL511" s="122"/>
    </row>
    <row r="512">
      <c r="C512" s="90"/>
      <c r="D512" s="90"/>
      <c r="E512" s="90"/>
      <c r="F512" s="90"/>
      <c r="G512" s="90"/>
      <c r="H512" s="123"/>
      <c r="I512" s="123"/>
      <c r="J512" s="123"/>
      <c r="K512" s="123"/>
      <c r="L512" s="123"/>
      <c r="M512" s="123"/>
      <c r="N512" s="123"/>
      <c r="O512" s="123"/>
      <c r="P512" s="123"/>
      <c r="Q512" s="123"/>
      <c r="U512" s="124"/>
      <c r="W512" s="125"/>
      <c r="AJ512" s="126"/>
      <c r="AK512" s="126"/>
      <c r="AL512" s="122"/>
    </row>
    <row r="513">
      <c r="C513" s="90"/>
      <c r="D513" s="90"/>
      <c r="E513" s="90"/>
      <c r="F513" s="90"/>
      <c r="G513" s="90"/>
      <c r="H513" s="123"/>
      <c r="I513" s="123"/>
      <c r="J513" s="123"/>
      <c r="K513" s="123"/>
      <c r="L513" s="123"/>
      <c r="M513" s="123"/>
      <c r="N513" s="123"/>
      <c r="O513" s="123"/>
      <c r="P513" s="123"/>
      <c r="Q513" s="123"/>
      <c r="U513" s="124"/>
      <c r="W513" s="125"/>
      <c r="AJ513" s="126"/>
      <c r="AK513" s="126"/>
      <c r="AL513" s="122"/>
    </row>
    <row r="514">
      <c r="C514" s="90"/>
      <c r="D514" s="90"/>
      <c r="E514" s="90"/>
      <c r="F514" s="90"/>
      <c r="G514" s="90"/>
      <c r="H514" s="123"/>
      <c r="I514" s="123"/>
      <c r="J514" s="123"/>
      <c r="K514" s="123"/>
      <c r="L514" s="123"/>
      <c r="M514" s="123"/>
      <c r="N514" s="123"/>
      <c r="O514" s="123"/>
      <c r="P514" s="123"/>
      <c r="Q514" s="123"/>
      <c r="U514" s="124"/>
      <c r="W514" s="125"/>
      <c r="AJ514" s="126"/>
      <c r="AK514" s="126"/>
      <c r="AL514" s="122"/>
    </row>
    <row r="515">
      <c r="C515" s="90"/>
      <c r="D515" s="90"/>
      <c r="E515" s="90"/>
      <c r="F515" s="90"/>
      <c r="G515" s="90"/>
      <c r="H515" s="123"/>
      <c r="I515" s="123"/>
      <c r="J515" s="123"/>
      <c r="K515" s="123"/>
      <c r="L515" s="123"/>
      <c r="M515" s="123"/>
      <c r="N515" s="123"/>
      <c r="O515" s="123"/>
      <c r="P515" s="123"/>
      <c r="Q515" s="123"/>
      <c r="U515" s="124"/>
      <c r="W515" s="125"/>
      <c r="AJ515" s="126"/>
      <c r="AK515" s="126"/>
      <c r="AL515" s="122"/>
    </row>
    <row r="516">
      <c r="C516" s="90"/>
      <c r="D516" s="90"/>
      <c r="E516" s="90"/>
      <c r="F516" s="90"/>
      <c r="G516" s="90"/>
      <c r="H516" s="123"/>
      <c r="I516" s="123"/>
      <c r="J516" s="123"/>
      <c r="K516" s="123"/>
      <c r="L516" s="123"/>
      <c r="M516" s="123"/>
      <c r="N516" s="123"/>
      <c r="O516" s="123"/>
      <c r="P516" s="123"/>
      <c r="Q516" s="123"/>
      <c r="U516" s="124"/>
      <c r="W516" s="125"/>
      <c r="AJ516" s="126"/>
      <c r="AK516" s="126"/>
      <c r="AL516" s="122"/>
    </row>
    <row r="517">
      <c r="C517" s="90"/>
      <c r="D517" s="90"/>
      <c r="E517" s="90"/>
      <c r="F517" s="90"/>
      <c r="G517" s="90"/>
      <c r="H517" s="123"/>
      <c r="I517" s="123"/>
      <c r="J517" s="123"/>
      <c r="K517" s="123"/>
      <c r="L517" s="123"/>
      <c r="M517" s="123"/>
      <c r="N517" s="123"/>
      <c r="O517" s="123"/>
      <c r="P517" s="123"/>
      <c r="Q517" s="123"/>
      <c r="U517" s="124"/>
      <c r="W517" s="125"/>
      <c r="AJ517" s="126"/>
      <c r="AK517" s="126"/>
      <c r="AL517" s="122"/>
    </row>
    <row r="518">
      <c r="C518" s="90"/>
      <c r="D518" s="90"/>
      <c r="E518" s="90"/>
      <c r="F518" s="90"/>
      <c r="G518" s="90"/>
      <c r="H518" s="123"/>
      <c r="I518" s="123"/>
      <c r="J518" s="123"/>
      <c r="K518" s="123"/>
      <c r="L518" s="123"/>
      <c r="M518" s="123"/>
      <c r="N518" s="123"/>
      <c r="O518" s="123"/>
      <c r="P518" s="123"/>
      <c r="Q518" s="123"/>
      <c r="U518" s="124"/>
      <c r="W518" s="125"/>
      <c r="AJ518" s="126"/>
      <c r="AK518" s="126"/>
      <c r="AL518" s="122"/>
    </row>
    <row r="519">
      <c r="C519" s="90"/>
      <c r="D519" s="90"/>
      <c r="E519" s="90"/>
      <c r="F519" s="90"/>
      <c r="G519" s="90"/>
      <c r="H519" s="123"/>
      <c r="I519" s="123"/>
      <c r="J519" s="123"/>
      <c r="K519" s="123"/>
      <c r="L519" s="123"/>
      <c r="M519" s="123"/>
      <c r="N519" s="123"/>
      <c r="O519" s="123"/>
      <c r="P519" s="123"/>
      <c r="Q519" s="123"/>
      <c r="U519" s="124"/>
      <c r="W519" s="125"/>
      <c r="AJ519" s="126"/>
      <c r="AK519" s="126"/>
      <c r="AL519" s="122"/>
    </row>
    <row r="520">
      <c r="C520" s="90"/>
      <c r="D520" s="90"/>
      <c r="E520" s="90"/>
      <c r="F520" s="90"/>
      <c r="G520" s="90"/>
      <c r="H520" s="123"/>
      <c r="I520" s="123"/>
      <c r="J520" s="123"/>
      <c r="K520" s="123"/>
      <c r="L520" s="123"/>
      <c r="M520" s="123"/>
      <c r="N520" s="123"/>
      <c r="O520" s="123"/>
      <c r="P520" s="123"/>
      <c r="Q520" s="123"/>
      <c r="U520" s="124"/>
      <c r="W520" s="125"/>
      <c r="AJ520" s="126"/>
      <c r="AK520" s="126"/>
      <c r="AL520" s="122"/>
    </row>
    <row r="521">
      <c r="C521" s="90"/>
      <c r="D521" s="90"/>
      <c r="E521" s="90"/>
      <c r="F521" s="90"/>
      <c r="G521" s="90"/>
      <c r="H521" s="123"/>
      <c r="I521" s="123"/>
      <c r="J521" s="123"/>
      <c r="K521" s="123"/>
      <c r="L521" s="123"/>
      <c r="M521" s="123"/>
      <c r="N521" s="123"/>
      <c r="O521" s="123"/>
      <c r="P521" s="123"/>
      <c r="Q521" s="123"/>
      <c r="U521" s="124"/>
      <c r="W521" s="125"/>
      <c r="AJ521" s="126"/>
      <c r="AK521" s="126"/>
      <c r="AL521" s="122"/>
    </row>
    <row r="522">
      <c r="C522" s="90"/>
      <c r="D522" s="90"/>
      <c r="E522" s="90"/>
      <c r="F522" s="90"/>
      <c r="G522" s="90"/>
      <c r="H522" s="123"/>
      <c r="I522" s="123"/>
      <c r="J522" s="123"/>
      <c r="K522" s="123"/>
      <c r="L522" s="123"/>
      <c r="M522" s="123"/>
      <c r="N522" s="123"/>
      <c r="O522" s="123"/>
      <c r="P522" s="123"/>
      <c r="Q522" s="123"/>
      <c r="U522" s="124"/>
      <c r="W522" s="125"/>
      <c r="AJ522" s="126"/>
      <c r="AK522" s="126"/>
      <c r="AL522" s="122"/>
    </row>
    <row r="523">
      <c r="C523" s="90"/>
      <c r="D523" s="90"/>
      <c r="E523" s="90"/>
      <c r="F523" s="90"/>
      <c r="G523" s="90"/>
      <c r="H523" s="123"/>
      <c r="I523" s="123"/>
      <c r="J523" s="123"/>
      <c r="K523" s="123"/>
      <c r="L523" s="123"/>
      <c r="M523" s="123"/>
      <c r="N523" s="123"/>
      <c r="O523" s="123"/>
      <c r="P523" s="123"/>
      <c r="Q523" s="123"/>
      <c r="U523" s="124"/>
      <c r="W523" s="125"/>
      <c r="AJ523" s="126"/>
      <c r="AK523" s="126"/>
      <c r="AL523" s="122"/>
    </row>
    <row r="524">
      <c r="C524" s="90"/>
      <c r="D524" s="90"/>
      <c r="E524" s="90"/>
      <c r="F524" s="90"/>
      <c r="G524" s="90"/>
      <c r="H524" s="123"/>
      <c r="I524" s="123"/>
      <c r="J524" s="123"/>
      <c r="K524" s="123"/>
      <c r="L524" s="123"/>
      <c r="M524" s="123"/>
      <c r="N524" s="123"/>
      <c r="O524" s="123"/>
      <c r="P524" s="123"/>
      <c r="Q524" s="123"/>
      <c r="U524" s="124"/>
      <c r="W524" s="125"/>
      <c r="AJ524" s="126"/>
      <c r="AK524" s="126"/>
      <c r="AL524" s="122"/>
    </row>
    <row r="525">
      <c r="C525" s="90"/>
      <c r="D525" s="90"/>
      <c r="E525" s="90"/>
      <c r="F525" s="90"/>
      <c r="G525" s="90"/>
      <c r="H525" s="123"/>
      <c r="I525" s="123"/>
      <c r="J525" s="123"/>
      <c r="K525" s="123"/>
      <c r="L525" s="123"/>
      <c r="M525" s="123"/>
      <c r="N525" s="123"/>
      <c r="O525" s="123"/>
      <c r="P525" s="123"/>
      <c r="Q525" s="123"/>
      <c r="U525" s="124"/>
      <c r="W525" s="125"/>
      <c r="AJ525" s="126"/>
      <c r="AK525" s="126"/>
      <c r="AL525" s="122"/>
    </row>
    <row r="526">
      <c r="C526" s="90"/>
      <c r="D526" s="90"/>
      <c r="E526" s="90"/>
      <c r="F526" s="90"/>
      <c r="G526" s="90"/>
      <c r="H526" s="123"/>
      <c r="I526" s="123"/>
      <c r="J526" s="123"/>
      <c r="K526" s="123"/>
      <c r="L526" s="123"/>
      <c r="M526" s="123"/>
      <c r="N526" s="123"/>
      <c r="O526" s="123"/>
      <c r="P526" s="123"/>
      <c r="Q526" s="123"/>
      <c r="U526" s="124"/>
      <c r="W526" s="125"/>
      <c r="AJ526" s="126"/>
      <c r="AK526" s="126"/>
      <c r="AL526" s="122"/>
    </row>
    <row r="527">
      <c r="C527" s="90"/>
      <c r="D527" s="90"/>
      <c r="E527" s="90"/>
      <c r="F527" s="90"/>
      <c r="G527" s="90"/>
      <c r="H527" s="123"/>
      <c r="I527" s="123"/>
      <c r="J527" s="123"/>
      <c r="K527" s="123"/>
      <c r="L527" s="123"/>
      <c r="M527" s="123"/>
      <c r="N527" s="123"/>
      <c r="O527" s="123"/>
      <c r="P527" s="123"/>
      <c r="Q527" s="123"/>
      <c r="U527" s="124"/>
      <c r="W527" s="125"/>
      <c r="AJ527" s="126"/>
      <c r="AK527" s="126"/>
      <c r="AL527" s="122"/>
    </row>
    <row r="528">
      <c r="C528" s="90"/>
      <c r="D528" s="90"/>
      <c r="E528" s="90"/>
      <c r="F528" s="90"/>
      <c r="G528" s="90"/>
      <c r="H528" s="123"/>
      <c r="I528" s="123"/>
      <c r="J528" s="123"/>
      <c r="K528" s="123"/>
      <c r="L528" s="123"/>
      <c r="M528" s="123"/>
      <c r="N528" s="123"/>
      <c r="O528" s="123"/>
      <c r="P528" s="123"/>
      <c r="Q528" s="123"/>
      <c r="U528" s="124"/>
      <c r="W528" s="125"/>
      <c r="AJ528" s="126"/>
      <c r="AK528" s="126"/>
      <c r="AL528" s="122"/>
    </row>
    <row r="529">
      <c r="C529" s="90"/>
      <c r="D529" s="90"/>
      <c r="E529" s="90"/>
      <c r="F529" s="90"/>
      <c r="G529" s="90"/>
      <c r="H529" s="123"/>
      <c r="I529" s="123"/>
      <c r="J529" s="123"/>
      <c r="K529" s="123"/>
      <c r="L529" s="123"/>
      <c r="M529" s="123"/>
      <c r="N529" s="123"/>
      <c r="O529" s="123"/>
      <c r="P529" s="123"/>
      <c r="Q529" s="123"/>
      <c r="U529" s="124"/>
      <c r="W529" s="125"/>
      <c r="AJ529" s="126"/>
      <c r="AK529" s="126"/>
      <c r="AL529" s="122"/>
    </row>
    <row r="530">
      <c r="C530" s="90"/>
      <c r="D530" s="90"/>
      <c r="E530" s="90"/>
      <c r="F530" s="90"/>
      <c r="G530" s="90"/>
      <c r="H530" s="123"/>
      <c r="I530" s="123"/>
      <c r="J530" s="123"/>
      <c r="K530" s="123"/>
      <c r="L530" s="123"/>
      <c r="M530" s="123"/>
      <c r="N530" s="123"/>
      <c r="O530" s="123"/>
      <c r="P530" s="123"/>
      <c r="Q530" s="123"/>
      <c r="U530" s="124"/>
      <c r="W530" s="125"/>
      <c r="AJ530" s="126"/>
      <c r="AK530" s="126"/>
      <c r="AL530" s="122"/>
    </row>
    <row r="531">
      <c r="C531" s="90"/>
      <c r="D531" s="90"/>
      <c r="E531" s="90"/>
      <c r="F531" s="90"/>
      <c r="G531" s="90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U531" s="124"/>
      <c r="W531" s="125"/>
      <c r="AJ531" s="126"/>
      <c r="AK531" s="126"/>
      <c r="AL531" s="122"/>
    </row>
    <row r="532">
      <c r="C532" s="90"/>
      <c r="D532" s="90"/>
      <c r="E532" s="90"/>
      <c r="F532" s="90"/>
      <c r="G532" s="90"/>
      <c r="H532" s="123"/>
      <c r="I532" s="123"/>
      <c r="J532" s="123"/>
      <c r="K532" s="123"/>
      <c r="L532" s="123"/>
      <c r="M532" s="123"/>
      <c r="N532" s="123"/>
      <c r="O532" s="123"/>
      <c r="P532" s="123"/>
      <c r="Q532" s="123"/>
      <c r="U532" s="124"/>
      <c r="W532" s="125"/>
      <c r="AJ532" s="126"/>
      <c r="AK532" s="126"/>
      <c r="AL532" s="122"/>
    </row>
    <row r="533">
      <c r="C533" s="90"/>
      <c r="D533" s="90"/>
      <c r="E533" s="90"/>
      <c r="F533" s="90"/>
      <c r="G533" s="90"/>
      <c r="H533" s="123"/>
      <c r="I533" s="123"/>
      <c r="J533" s="123"/>
      <c r="K533" s="123"/>
      <c r="L533" s="123"/>
      <c r="M533" s="123"/>
      <c r="N533" s="123"/>
      <c r="O533" s="123"/>
      <c r="P533" s="123"/>
      <c r="Q533" s="123"/>
      <c r="U533" s="124"/>
      <c r="W533" s="125"/>
      <c r="AJ533" s="126"/>
      <c r="AK533" s="126"/>
      <c r="AL533" s="122"/>
    </row>
    <row r="534">
      <c r="C534" s="90"/>
      <c r="D534" s="90"/>
      <c r="E534" s="90"/>
      <c r="F534" s="90"/>
      <c r="G534" s="90"/>
      <c r="H534" s="123"/>
      <c r="I534" s="123"/>
      <c r="J534" s="123"/>
      <c r="K534" s="123"/>
      <c r="L534" s="123"/>
      <c r="M534" s="123"/>
      <c r="N534" s="123"/>
      <c r="O534" s="123"/>
      <c r="P534" s="123"/>
      <c r="Q534" s="123"/>
      <c r="U534" s="124"/>
      <c r="W534" s="125"/>
      <c r="AJ534" s="126"/>
      <c r="AK534" s="126"/>
      <c r="AL534" s="122"/>
    </row>
    <row r="535">
      <c r="C535" s="90"/>
      <c r="D535" s="90"/>
      <c r="E535" s="90"/>
      <c r="F535" s="90"/>
      <c r="G535" s="90"/>
      <c r="H535" s="123"/>
      <c r="I535" s="123"/>
      <c r="J535" s="123"/>
      <c r="K535" s="123"/>
      <c r="L535" s="123"/>
      <c r="M535" s="123"/>
      <c r="N535" s="123"/>
      <c r="O535" s="123"/>
      <c r="P535" s="123"/>
      <c r="Q535" s="123"/>
      <c r="U535" s="124"/>
      <c r="W535" s="125"/>
      <c r="AJ535" s="126"/>
      <c r="AK535" s="126"/>
      <c r="AL535" s="122"/>
    </row>
    <row r="536">
      <c r="C536" s="90"/>
      <c r="D536" s="90"/>
      <c r="E536" s="90"/>
      <c r="F536" s="90"/>
      <c r="G536" s="90"/>
      <c r="H536" s="123"/>
      <c r="I536" s="123"/>
      <c r="J536" s="123"/>
      <c r="K536" s="123"/>
      <c r="L536" s="123"/>
      <c r="M536" s="123"/>
      <c r="N536" s="123"/>
      <c r="O536" s="123"/>
      <c r="P536" s="123"/>
      <c r="Q536" s="123"/>
      <c r="U536" s="124"/>
      <c r="W536" s="125"/>
      <c r="AJ536" s="126"/>
      <c r="AK536" s="126"/>
      <c r="AL536" s="122"/>
    </row>
    <row r="537">
      <c r="C537" s="90"/>
      <c r="D537" s="90"/>
      <c r="E537" s="90"/>
      <c r="F537" s="90"/>
      <c r="G537" s="90"/>
      <c r="H537" s="123"/>
      <c r="I537" s="123"/>
      <c r="J537" s="123"/>
      <c r="K537" s="123"/>
      <c r="L537" s="123"/>
      <c r="M537" s="123"/>
      <c r="N537" s="123"/>
      <c r="O537" s="123"/>
      <c r="P537" s="123"/>
      <c r="Q537" s="123"/>
      <c r="U537" s="124"/>
      <c r="W537" s="125"/>
      <c r="AJ537" s="126"/>
      <c r="AK537" s="126"/>
      <c r="AL537" s="122"/>
    </row>
    <row r="538">
      <c r="C538" s="90"/>
      <c r="D538" s="90"/>
      <c r="E538" s="90"/>
      <c r="F538" s="90"/>
      <c r="G538" s="90"/>
      <c r="H538" s="123"/>
      <c r="I538" s="123"/>
      <c r="J538" s="123"/>
      <c r="K538" s="123"/>
      <c r="L538" s="123"/>
      <c r="M538" s="123"/>
      <c r="N538" s="123"/>
      <c r="O538" s="123"/>
      <c r="P538" s="123"/>
      <c r="Q538" s="123"/>
      <c r="U538" s="124"/>
      <c r="W538" s="125"/>
      <c r="AJ538" s="126"/>
      <c r="AK538" s="126"/>
      <c r="AL538" s="122"/>
    </row>
    <row r="539">
      <c r="C539" s="90"/>
      <c r="D539" s="90"/>
      <c r="E539" s="90"/>
      <c r="F539" s="90"/>
      <c r="G539" s="90"/>
      <c r="H539" s="123"/>
      <c r="I539" s="123"/>
      <c r="J539" s="123"/>
      <c r="K539" s="123"/>
      <c r="L539" s="123"/>
      <c r="M539" s="123"/>
      <c r="N539" s="123"/>
      <c r="O539" s="123"/>
      <c r="P539" s="123"/>
      <c r="Q539" s="123"/>
      <c r="U539" s="124"/>
      <c r="W539" s="125"/>
      <c r="AJ539" s="126"/>
      <c r="AK539" s="126"/>
      <c r="AL539" s="122"/>
    </row>
    <row r="540">
      <c r="C540" s="90"/>
      <c r="D540" s="90"/>
      <c r="E540" s="90"/>
      <c r="F540" s="90"/>
      <c r="G540" s="90"/>
      <c r="H540" s="123"/>
      <c r="I540" s="123"/>
      <c r="J540" s="123"/>
      <c r="K540" s="123"/>
      <c r="L540" s="123"/>
      <c r="M540" s="123"/>
      <c r="N540" s="123"/>
      <c r="O540" s="123"/>
      <c r="P540" s="123"/>
      <c r="Q540" s="123"/>
      <c r="U540" s="124"/>
      <c r="W540" s="125"/>
      <c r="AJ540" s="126"/>
      <c r="AK540" s="126"/>
      <c r="AL540" s="122"/>
    </row>
    <row r="541">
      <c r="C541" s="90"/>
      <c r="D541" s="90"/>
      <c r="E541" s="90"/>
      <c r="F541" s="90"/>
      <c r="G541" s="90"/>
      <c r="H541" s="123"/>
      <c r="I541" s="123"/>
      <c r="J541" s="123"/>
      <c r="K541" s="123"/>
      <c r="L541" s="123"/>
      <c r="M541" s="123"/>
      <c r="N541" s="123"/>
      <c r="O541" s="123"/>
      <c r="P541" s="123"/>
      <c r="Q541" s="123"/>
      <c r="U541" s="124"/>
      <c r="W541" s="125"/>
      <c r="AJ541" s="126"/>
      <c r="AK541" s="126"/>
      <c r="AL541" s="122"/>
    </row>
    <row r="542">
      <c r="C542" s="90"/>
      <c r="D542" s="90"/>
      <c r="E542" s="90"/>
      <c r="F542" s="90"/>
      <c r="G542" s="90"/>
      <c r="H542" s="123"/>
      <c r="I542" s="123"/>
      <c r="J542" s="123"/>
      <c r="K542" s="123"/>
      <c r="L542" s="123"/>
      <c r="M542" s="123"/>
      <c r="N542" s="123"/>
      <c r="O542" s="123"/>
      <c r="P542" s="123"/>
      <c r="Q542" s="123"/>
      <c r="U542" s="124"/>
      <c r="W542" s="125"/>
      <c r="AJ542" s="126"/>
      <c r="AK542" s="126"/>
      <c r="AL542" s="122"/>
    </row>
    <row r="543">
      <c r="C543" s="90"/>
      <c r="D543" s="90"/>
      <c r="E543" s="90"/>
      <c r="F543" s="90"/>
      <c r="G543" s="90"/>
      <c r="H543" s="123"/>
      <c r="I543" s="123"/>
      <c r="J543" s="123"/>
      <c r="K543" s="123"/>
      <c r="L543" s="123"/>
      <c r="M543" s="123"/>
      <c r="N543" s="123"/>
      <c r="O543" s="123"/>
      <c r="P543" s="123"/>
      <c r="Q543" s="123"/>
      <c r="U543" s="124"/>
      <c r="W543" s="125"/>
      <c r="AJ543" s="126"/>
      <c r="AK543" s="126"/>
      <c r="AL543" s="122"/>
    </row>
    <row r="544">
      <c r="C544" s="90"/>
      <c r="D544" s="90"/>
      <c r="E544" s="90"/>
      <c r="F544" s="90"/>
      <c r="G544" s="90"/>
      <c r="H544" s="123"/>
      <c r="I544" s="123"/>
      <c r="J544" s="123"/>
      <c r="K544" s="123"/>
      <c r="L544" s="123"/>
      <c r="M544" s="123"/>
      <c r="N544" s="123"/>
      <c r="O544" s="123"/>
      <c r="P544" s="123"/>
      <c r="Q544" s="123"/>
      <c r="U544" s="124"/>
      <c r="W544" s="125"/>
      <c r="AJ544" s="126"/>
      <c r="AK544" s="126"/>
      <c r="AL544" s="122"/>
    </row>
    <row r="545">
      <c r="C545" s="90"/>
      <c r="D545" s="90"/>
      <c r="E545" s="90"/>
      <c r="F545" s="90"/>
      <c r="G545" s="90"/>
      <c r="H545" s="123"/>
      <c r="I545" s="123"/>
      <c r="J545" s="123"/>
      <c r="K545" s="123"/>
      <c r="L545" s="123"/>
      <c r="M545" s="123"/>
      <c r="N545" s="123"/>
      <c r="O545" s="123"/>
      <c r="P545" s="123"/>
      <c r="Q545" s="123"/>
      <c r="U545" s="124"/>
      <c r="W545" s="125"/>
      <c r="AJ545" s="126"/>
      <c r="AK545" s="126"/>
      <c r="AL545" s="122"/>
    </row>
    <row r="546">
      <c r="C546" s="90"/>
      <c r="D546" s="90"/>
      <c r="E546" s="90"/>
      <c r="F546" s="90"/>
      <c r="G546" s="90"/>
      <c r="H546" s="123"/>
      <c r="I546" s="123"/>
      <c r="J546" s="123"/>
      <c r="K546" s="123"/>
      <c r="L546" s="123"/>
      <c r="M546" s="123"/>
      <c r="N546" s="123"/>
      <c r="O546" s="123"/>
      <c r="P546" s="123"/>
      <c r="Q546" s="123"/>
      <c r="U546" s="124"/>
      <c r="W546" s="125"/>
      <c r="AJ546" s="126"/>
      <c r="AK546" s="126"/>
      <c r="AL546" s="122"/>
    </row>
    <row r="547">
      <c r="C547" s="90"/>
      <c r="D547" s="90"/>
      <c r="E547" s="90"/>
      <c r="F547" s="90"/>
      <c r="G547" s="90"/>
      <c r="H547" s="123"/>
      <c r="I547" s="123"/>
      <c r="J547" s="123"/>
      <c r="K547" s="123"/>
      <c r="L547" s="123"/>
      <c r="M547" s="123"/>
      <c r="N547" s="123"/>
      <c r="O547" s="123"/>
      <c r="P547" s="123"/>
      <c r="Q547" s="123"/>
      <c r="U547" s="124"/>
      <c r="W547" s="125"/>
      <c r="AJ547" s="126"/>
      <c r="AK547" s="126"/>
      <c r="AL547" s="122"/>
    </row>
    <row r="548">
      <c r="C548" s="90"/>
      <c r="D548" s="90"/>
      <c r="E548" s="90"/>
      <c r="F548" s="90"/>
      <c r="G548" s="90"/>
      <c r="H548" s="123"/>
      <c r="I548" s="123"/>
      <c r="J548" s="123"/>
      <c r="K548" s="123"/>
      <c r="L548" s="123"/>
      <c r="M548" s="123"/>
      <c r="N548" s="123"/>
      <c r="O548" s="123"/>
      <c r="P548" s="123"/>
      <c r="Q548" s="123"/>
      <c r="U548" s="124"/>
      <c r="W548" s="125"/>
      <c r="AJ548" s="126"/>
      <c r="AK548" s="126"/>
      <c r="AL548" s="122"/>
    </row>
    <row r="549">
      <c r="C549" s="90"/>
      <c r="D549" s="90"/>
      <c r="E549" s="90"/>
      <c r="F549" s="90"/>
      <c r="G549" s="90"/>
      <c r="H549" s="123"/>
      <c r="I549" s="123"/>
      <c r="J549" s="123"/>
      <c r="K549" s="123"/>
      <c r="L549" s="123"/>
      <c r="M549" s="123"/>
      <c r="N549" s="123"/>
      <c r="O549" s="123"/>
      <c r="P549" s="123"/>
      <c r="Q549" s="123"/>
      <c r="U549" s="124"/>
      <c r="W549" s="125"/>
      <c r="AJ549" s="126"/>
      <c r="AK549" s="126"/>
      <c r="AL549" s="122"/>
    </row>
    <row r="550">
      <c r="C550" s="90"/>
      <c r="D550" s="90"/>
      <c r="E550" s="90"/>
      <c r="F550" s="90"/>
      <c r="G550" s="90"/>
      <c r="H550" s="123"/>
      <c r="I550" s="123"/>
      <c r="J550" s="123"/>
      <c r="K550" s="123"/>
      <c r="L550" s="123"/>
      <c r="M550" s="123"/>
      <c r="N550" s="123"/>
      <c r="O550" s="123"/>
      <c r="P550" s="123"/>
      <c r="Q550" s="123"/>
      <c r="U550" s="124"/>
      <c r="W550" s="125"/>
      <c r="AJ550" s="126"/>
      <c r="AK550" s="126"/>
      <c r="AL550" s="122"/>
    </row>
    <row r="551">
      <c r="C551" s="90"/>
      <c r="D551" s="90"/>
      <c r="E551" s="90"/>
      <c r="F551" s="90"/>
      <c r="G551" s="90"/>
      <c r="H551" s="123"/>
      <c r="I551" s="123"/>
      <c r="J551" s="123"/>
      <c r="K551" s="123"/>
      <c r="L551" s="123"/>
      <c r="M551" s="123"/>
      <c r="N551" s="123"/>
      <c r="O551" s="123"/>
      <c r="P551" s="123"/>
      <c r="Q551" s="123"/>
      <c r="U551" s="124"/>
      <c r="W551" s="125"/>
      <c r="AJ551" s="126"/>
      <c r="AK551" s="126"/>
      <c r="AL551" s="122"/>
    </row>
    <row r="552">
      <c r="C552" s="90"/>
      <c r="D552" s="90"/>
      <c r="E552" s="90"/>
      <c r="F552" s="90"/>
      <c r="G552" s="90"/>
      <c r="H552" s="123"/>
      <c r="I552" s="123"/>
      <c r="J552" s="123"/>
      <c r="K552" s="123"/>
      <c r="L552" s="123"/>
      <c r="M552" s="123"/>
      <c r="N552" s="123"/>
      <c r="O552" s="123"/>
      <c r="P552" s="123"/>
      <c r="Q552" s="123"/>
      <c r="U552" s="124"/>
      <c r="W552" s="125"/>
      <c r="AJ552" s="126"/>
      <c r="AK552" s="126"/>
      <c r="AL552" s="122"/>
    </row>
    <row r="553">
      <c r="C553" s="90"/>
      <c r="D553" s="90"/>
      <c r="E553" s="90"/>
      <c r="F553" s="90"/>
      <c r="G553" s="90"/>
      <c r="H553" s="123"/>
      <c r="I553" s="123"/>
      <c r="J553" s="123"/>
      <c r="K553" s="123"/>
      <c r="L553" s="123"/>
      <c r="M553" s="123"/>
      <c r="N553" s="123"/>
      <c r="O553" s="123"/>
      <c r="P553" s="123"/>
      <c r="Q553" s="123"/>
      <c r="U553" s="124"/>
      <c r="W553" s="125"/>
      <c r="AJ553" s="126"/>
      <c r="AK553" s="126"/>
      <c r="AL553" s="122"/>
    </row>
    <row r="554">
      <c r="C554" s="90"/>
      <c r="D554" s="90"/>
      <c r="E554" s="90"/>
      <c r="F554" s="90"/>
      <c r="G554" s="90"/>
      <c r="H554" s="123"/>
      <c r="I554" s="123"/>
      <c r="J554" s="123"/>
      <c r="K554" s="123"/>
      <c r="L554" s="123"/>
      <c r="M554" s="123"/>
      <c r="N554" s="123"/>
      <c r="O554" s="123"/>
      <c r="P554" s="123"/>
      <c r="Q554" s="123"/>
      <c r="U554" s="124"/>
      <c r="W554" s="125"/>
      <c r="AJ554" s="126"/>
      <c r="AK554" s="126"/>
      <c r="AL554" s="122"/>
    </row>
    <row r="555">
      <c r="C555" s="90"/>
      <c r="D555" s="90"/>
      <c r="E555" s="90"/>
      <c r="F555" s="90"/>
      <c r="G555" s="90"/>
      <c r="H555" s="123"/>
      <c r="I555" s="123"/>
      <c r="J555" s="123"/>
      <c r="K555" s="123"/>
      <c r="L555" s="123"/>
      <c r="M555" s="123"/>
      <c r="N555" s="123"/>
      <c r="O555" s="123"/>
      <c r="P555" s="123"/>
      <c r="Q555" s="123"/>
      <c r="U555" s="124"/>
      <c r="W555" s="125"/>
      <c r="AJ555" s="126"/>
      <c r="AK555" s="126"/>
      <c r="AL555" s="122"/>
    </row>
    <row r="556">
      <c r="C556" s="90"/>
      <c r="D556" s="90"/>
      <c r="E556" s="90"/>
      <c r="F556" s="90"/>
      <c r="G556" s="90"/>
      <c r="H556" s="123"/>
      <c r="I556" s="123"/>
      <c r="J556" s="123"/>
      <c r="K556" s="123"/>
      <c r="L556" s="123"/>
      <c r="M556" s="123"/>
      <c r="N556" s="123"/>
      <c r="O556" s="123"/>
      <c r="P556" s="123"/>
      <c r="Q556" s="123"/>
      <c r="U556" s="124"/>
      <c r="W556" s="125"/>
      <c r="AJ556" s="126"/>
      <c r="AK556" s="126"/>
      <c r="AL556" s="122"/>
    </row>
    <row r="557">
      <c r="C557" s="90"/>
      <c r="D557" s="90"/>
      <c r="E557" s="90"/>
      <c r="F557" s="90"/>
      <c r="G557" s="90"/>
      <c r="H557" s="123"/>
      <c r="I557" s="123"/>
      <c r="J557" s="123"/>
      <c r="K557" s="123"/>
      <c r="L557" s="123"/>
      <c r="M557" s="123"/>
      <c r="N557" s="123"/>
      <c r="O557" s="123"/>
      <c r="P557" s="123"/>
      <c r="Q557" s="123"/>
      <c r="U557" s="124"/>
      <c r="W557" s="125"/>
      <c r="AJ557" s="126"/>
      <c r="AK557" s="126"/>
      <c r="AL557" s="122"/>
    </row>
    <row r="558">
      <c r="C558" s="90"/>
      <c r="D558" s="90"/>
      <c r="E558" s="90"/>
      <c r="F558" s="90"/>
      <c r="G558" s="90"/>
      <c r="H558" s="123"/>
      <c r="I558" s="123"/>
      <c r="J558" s="123"/>
      <c r="K558" s="123"/>
      <c r="L558" s="123"/>
      <c r="M558" s="123"/>
      <c r="N558" s="123"/>
      <c r="O558" s="123"/>
      <c r="P558" s="123"/>
      <c r="Q558" s="123"/>
      <c r="U558" s="124"/>
      <c r="W558" s="125"/>
      <c r="AJ558" s="126"/>
      <c r="AK558" s="126"/>
      <c r="AL558" s="122"/>
    </row>
    <row r="559">
      <c r="C559" s="90"/>
      <c r="D559" s="90"/>
      <c r="E559" s="90"/>
      <c r="F559" s="90"/>
      <c r="G559" s="90"/>
      <c r="H559" s="123"/>
      <c r="I559" s="123"/>
      <c r="J559" s="123"/>
      <c r="K559" s="123"/>
      <c r="L559" s="123"/>
      <c r="M559" s="123"/>
      <c r="N559" s="123"/>
      <c r="O559" s="123"/>
      <c r="P559" s="123"/>
      <c r="Q559" s="123"/>
      <c r="U559" s="124"/>
      <c r="W559" s="125"/>
      <c r="AJ559" s="126"/>
      <c r="AK559" s="126"/>
      <c r="AL559" s="122"/>
    </row>
    <row r="560">
      <c r="C560" s="90"/>
      <c r="D560" s="90"/>
      <c r="E560" s="90"/>
      <c r="F560" s="90"/>
      <c r="G560" s="90"/>
      <c r="H560" s="123"/>
      <c r="I560" s="123"/>
      <c r="J560" s="123"/>
      <c r="K560" s="123"/>
      <c r="L560" s="123"/>
      <c r="M560" s="123"/>
      <c r="N560" s="123"/>
      <c r="O560" s="123"/>
      <c r="P560" s="123"/>
      <c r="Q560" s="123"/>
      <c r="U560" s="124"/>
      <c r="W560" s="125"/>
      <c r="AJ560" s="126"/>
      <c r="AK560" s="126"/>
      <c r="AL560" s="122"/>
    </row>
    <row r="561">
      <c r="C561" s="90"/>
      <c r="D561" s="90"/>
      <c r="E561" s="90"/>
      <c r="F561" s="90"/>
      <c r="G561" s="90"/>
      <c r="H561" s="123"/>
      <c r="I561" s="123"/>
      <c r="J561" s="123"/>
      <c r="K561" s="123"/>
      <c r="L561" s="123"/>
      <c r="M561" s="123"/>
      <c r="N561" s="123"/>
      <c r="O561" s="123"/>
      <c r="P561" s="123"/>
      <c r="Q561" s="123"/>
      <c r="U561" s="124"/>
      <c r="W561" s="125"/>
      <c r="AJ561" s="126"/>
      <c r="AK561" s="126"/>
      <c r="AL561" s="122"/>
    </row>
    <row r="562">
      <c r="C562" s="90"/>
      <c r="D562" s="90"/>
      <c r="E562" s="90"/>
      <c r="F562" s="90"/>
      <c r="G562" s="90"/>
      <c r="H562" s="123"/>
      <c r="I562" s="123"/>
      <c r="J562" s="123"/>
      <c r="K562" s="123"/>
      <c r="L562" s="123"/>
      <c r="M562" s="123"/>
      <c r="N562" s="123"/>
      <c r="O562" s="123"/>
      <c r="P562" s="123"/>
      <c r="Q562" s="123"/>
      <c r="U562" s="124"/>
      <c r="W562" s="125"/>
      <c r="AJ562" s="126"/>
      <c r="AK562" s="126"/>
      <c r="AL562" s="122"/>
    </row>
    <row r="563">
      <c r="C563" s="90"/>
      <c r="D563" s="90"/>
      <c r="E563" s="90"/>
      <c r="F563" s="90"/>
      <c r="G563" s="90"/>
      <c r="H563" s="123"/>
      <c r="I563" s="123"/>
      <c r="J563" s="123"/>
      <c r="K563" s="123"/>
      <c r="L563" s="123"/>
      <c r="M563" s="123"/>
      <c r="N563" s="123"/>
      <c r="O563" s="123"/>
      <c r="P563" s="123"/>
      <c r="Q563" s="123"/>
      <c r="U563" s="124"/>
      <c r="W563" s="125"/>
      <c r="AJ563" s="126"/>
      <c r="AK563" s="126"/>
      <c r="AL563" s="122"/>
    </row>
    <row r="564">
      <c r="C564" s="90"/>
      <c r="D564" s="90"/>
      <c r="E564" s="90"/>
      <c r="F564" s="90"/>
      <c r="G564" s="90"/>
      <c r="H564" s="123"/>
      <c r="I564" s="123"/>
      <c r="J564" s="123"/>
      <c r="K564" s="123"/>
      <c r="L564" s="123"/>
      <c r="M564" s="123"/>
      <c r="N564" s="123"/>
      <c r="O564" s="123"/>
      <c r="P564" s="123"/>
      <c r="Q564" s="123"/>
      <c r="U564" s="124"/>
      <c r="W564" s="125"/>
      <c r="AJ564" s="126"/>
      <c r="AK564" s="126"/>
      <c r="AL564" s="122"/>
    </row>
    <row r="565">
      <c r="C565" s="90"/>
      <c r="D565" s="90"/>
      <c r="E565" s="90"/>
      <c r="F565" s="90"/>
      <c r="G565" s="90"/>
      <c r="H565" s="123"/>
      <c r="I565" s="123"/>
      <c r="J565" s="123"/>
      <c r="K565" s="123"/>
      <c r="L565" s="123"/>
      <c r="M565" s="123"/>
      <c r="N565" s="123"/>
      <c r="O565" s="123"/>
      <c r="P565" s="123"/>
      <c r="Q565" s="123"/>
      <c r="U565" s="124"/>
      <c r="W565" s="125"/>
      <c r="AJ565" s="126"/>
      <c r="AK565" s="126"/>
      <c r="AL565" s="122"/>
    </row>
    <row r="566">
      <c r="C566" s="90"/>
      <c r="D566" s="90"/>
      <c r="E566" s="90"/>
      <c r="F566" s="90"/>
      <c r="G566" s="90"/>
      <c r="H566" s="123"/>
      <c r="I566" s="123"/>
      <c r="J566" s="123"/>
      <c r="K566" s="123"/>
      <c r="L566" s="123"/>
      <c r="M566" s="123"/>
      <c r="N566" s="123"/>
      <c r="O566" s="123"/>
      <c r="P566" s="123"/>
      <c r="Q566" s="123"/>
      <c r="U566" s="124"/>
      <c r="W566" s="125"/>
      <c r="AJ566" s="126"/>
      <c r="AK566" s="126"/>
      <c r="AL566" s="122"/>
    </row>
    <row r="567">
      <c r="C567" s="90"/>
      <c r="D567" s="90"/>
      <c r="E567" s="90"/>
      <c r="F567" s="90"/>
      <c r="G567" s="90"/>
      <c r="H567" s="123"/>
      <c r="I567" s="123"/>
      <c r="J567" s="123"/>
      <c r="K567" s="123"/>
      <c r="L567" s="123"/>
      <c r="M567" s="123"/>
      <c r="N567" s="123"/>
      <c r="O567" s="123"/>
      <c r="P567" s="123"/>
      <c r="Q567" s="123"/>
      <c r="U567" s="124"/>
      <c r="W567" s="125"/>
      <c r="AJ567" s="126"/>
      <c r="AK567" s="126"/>
      <c r="AL567" s="122"/>
    </row>
    <row r="568">
      <c r="C568" s="90"/>
      <c r="D568" s="90"/>
      <c r="E568" s="90"/>
      <c r="F568" s="90"/>
      <c r="G568" s="90"/>
      <c r="H568" s="123"/>
      <c r="I568" s="123"/>
      <c r="J568" s="123"/>
      <c r="K568" s="123"/>
      <c r="L568" s="123"/>
      <c r="M568" s="123"/>
      <c r="N568" s="123"/>
      <c r="O568" s="123"/>
      <c r="P568" s="123"/>
      <c r="Q568" s="123"/>
      <c r="U568" s="124"/>
      <c r="W568" s="125"/>
      <c r="AJ568" s="126"/>
      <c r="AK568" s="126"/>
      <c r="AL568" s="122"/>
    </row>
    <row r="569">
      <c r="C569" s="90"/>
      <c r="D569" s="90"/>
      <c r="E569" s="90"/>
      <c r="F569" s="90"/>
      <c r="G569" s="90"/>
      <c r="H569" s="123"/>
      <c r="I569" s="123"/>
      <c r="J569" s="123"/>
      <c r="K569" s="123"/>
      <c r="L569" s="123"/>
      <c r="M569" s="123"/>
      <c r="N569" s="123"/>
      <c r="O569" s="123"/>
      <c r="P569" s="123"/>
      <c r="Q569" s="123"/>
      <c r="U569" s="124"/>
      <c r="W569" s="125"/>
      <c r="AJ569" s="126"/>
      <c r="AK569" s="126"/>
      <c r="AL569" s="122"/>
    </row>
    <row r="570">
      <c r="C570" s="90"/>
      <c r="D570" s="90"/>
      <c r="E570" s="90"/>
      <c r="F570" s="90"/>
      <c r="G570" s="90"/>
      <c r="H570" s="123"/>
      <c r="I570" s="123"/>
      <c r="J570" s="123"/>
      <c r="K570" s="123"/>
      <c r="L570" s="123"/>
      <c r="M570" s="123"/>
      <c r="N570" s="123"/>
      <c r="O570" s="123"/>
      <c r="P570" s="123"/>
      <c r="Q570" s="123"/>
      <c r="U570" s="124"/>
      <c r="W570" s="125"/>
      <c r="AJ570" s="126"/>
      <c r="AK570" s="126"/>
      <c r="AL570" s="122"/>
    </row>
    <row r="571">
      <c r="C571" s="90"/>
      <c r="D571" s="90"/>
      <c r="E571" s="90"/>
      <c r="F571" s="90"/>
      <c r="G571" s="90"/>
      <c r="H571" s="123"/>
      <c r="I571" s="123"/>
      <c r="J571" s="123"/>
      <c r="K571" s="123"/>
      <c r="L571" s="123"/>
      <c r="M571" s="123"/>
      <c r="N571" s="123"/>
      <c r="O571" s="123"/>
      <c r="P571" s="123"/>
      <c r="Q571" s="123"/>
      <c r="U571" s="124"/>
      <c r="W571" s="125"/>
      <c r="AJ571" s="126"/>
      <c r="AK571" s="126"/>
      <c r="AL571" s="122"/>
    </row>
    <row r="572">
      <c r="C572" s="90"/>
      <c r="D572" s="90"/>
      <c r="E572" s="90"/>
      <c r="F572" s="90"/>
      <c r="G572" s="90"/>
      <c r="H572" s="123"/>
      <c r="I572" s="123"/>
      <c r="J572" s="123"/>
      <c r="K572" s="123"/>
      <c r="L572" s="123"/>
      <c r="M572" s="123"/>
      <c r="N572" s="123"/>
      <c r="O572" s="123"/>
      <c r="P572" s="123"/>
      <c r="Q572" s="123"/>
      <c r="U572" s="124"/>
      <c r="W572" s="125"/>
      <c r="AJ572" s="126"/>
      <c r="AK572" s="126"/>
      <c r="AL572" s="122"/>
    </row>
    <row r="573">
      <c r="C573" s="90"/>
      <c r="D573" s="90"/>
      <c r="E573" s="90"/>
      <c r="F573" s="90"/>
      <c r="G573" s="90"/>
      <c r="H573" s="123"/>
      <c r="I573" s="123"/>
      <c r="J573" s="123"/>
      <c r="K573" s="123"/>
      <c r="L573" s="123"/>
      <c r="M573" s="123"/>
      <c r="N573" s="123"/>
      <c r="O573" s="123"/>
      <c r="P573" s="123"/>
      <c r="Q573" s="123"/>
      <c r="U573" s="124"/>
      <c r="W573" s="125"/>
      <c r="AJ573" s="126"/>
      <c r="AK573" s="126"/>
      <c r="AL573" s="122"/>
    </row>
    <row r="574">
      <c r="C574" s="90"/>
      <c r="D574" s="90"/>
      <c r="E574" s="90"/>
      <c r="F574" s="90"/>
      <c r="G574" s="90"/>
      <c r="H574" s="123"/>
      <c r="I574" s="123"/>
      <c r="J574" s="123"/>
      <c r="K574" s="123"/>
      <c r="L574" s="123"/>
      <c r="M574" s="123"/>
      <c r="N574" s="123"/>
      <c r="O574" s="123"/>
      <c r="P574" s="123"/>
      <c r="Q574" s="123"/>
      <c r="U574" s="124"/>
      <c r="W574" s="125"/>
      <c r="AJ574" s="126"/>
      <c r="AK574" s="126"/>
      <c r="AL574" s="122"/>
    </row>
    <row r="575">
      <c r="C575" s="90"/>
      <c r="D575" s="90"/>
      <c r="E575" s="90"/>
      <c r="F575" s="90"/>
      <c r="G575" s="90"/>
      <c r="H575" s="123"/>
      <c r="I575" s="123"/>
      <c r="J575" s="123"/>
      <c r="K575" s="123"/>
      <c r="L575" s="123"/>
      <c r="M575" s="123"/>
      <c r="N575" s="123"/>
      <c r="O575" s="123"/>
      <c r="P575" s="123"/>
      <c r="Q575" s="123"/>
      <c r="U575" s="124"/>
      <c r="W575" s="125"/>
      <c r="AJ575" s="126"/>
      <c r="AK575" s="126"/>
      <c r="AL575" s="122"/>
    </row>
    <row r="576">
      <c r="C576" s="90"/>
      <c r="D576" s="90"/>
      <c r="E576" s="90"/>
      <c r="F576" s="90"/>
      <c r="G576" s="90"/>
      <c r="H576" s="123"/>
      <c r="I576" s="123"/>
      <c r="J576" s="123"/>
      <c r="K576" s="123"/>
      <c r="L576" s="123"/>
      <c r="M576" s="123"/>
      <c r="N576" s="123"/>
      <c r="O576" s="123"/>
      <c r="P576" s="123"/>
      <c r="Q576" s="123"/>
      <c r="U576" s="124"/>
      <c r="W576" s="125"/>
      <c r="AJ576" s="126"/>
      <c r="AK576" s="126"/>
      <c r="AL576" s="122"/>
    </row>
    <row r="577">
      <c r="C577" s="90"/>
      <c r="D577" s="90"/>
      <c r="E577" s="90"/>
      <c r="F577" s="90"/>
      <c r="G577" s="90"/>
      <c r="H577" s="123"/>
      <c r="I577" s="123"/>
      <c r="J577" s="123"/>
      <c r="K577" s="123"/>
      <c r="L577" s="123"/>
      <c r="M577" s="123"/>
      <c r="N577" s="123"/>
      <c r="O577" s="123"/>
      <c r="P577" s="123"/>
      <c r="Q577" s="123"/>
      <c r="U577" s="124"/>
      <c r="W577" s="125"/>
      <c r="AJ577" s="126"/>
      <c r="AK577" s="126"/>
      <c r="AL577" s="122"/>
    </row>
    <row r="578">
      <c r="C578" s="90"/>
      <c r="D578" s="90"/>
      <c r="E578" s="90"/>
      <c r="F578" s="90"/>
      <c r="G578" s="90"/>
      <c r="H578" s="123"/>
      <c r="I578" s="123"/>
      <c r="J578" s="123"/>
      <c r="K578" s="123"/>
      <c r="L578" s="123"/>
      <c r="M578" s="123"/>
      <c r="N578" s="123"/>
      <c r="O578" s="123"/>
      <c r="P578" s="123"/>
      <c r="Q578" s="123"/>
      <c r="U578" s="124"/>
      <c r="W578" s="125"/>
      <c r="AJ578" s="126"/>
      <c r="AK578" s="126"/>
      <c r="AL578" s="122"/>
    </row>
    <row r="579">
      <c r="C579" s="90"/>
      <c r="D579" s="90"/>
      <c r="E579" s="90"/>
      <c r="F579" s="90"/>
      <c r="G579" s="90"/>
      <c r="H579" s="123"/>
      <c r="I579" s="123"/>
      <c r="J579" s="123"/>
      <c r="K579" s="123"/>
      <c r="L579" s="123"/>
      <c r="M579" s="123"/>
      <c r="N579" s="123"/>
      <c r="O579" s="123"/>
      <c r="P579" s="123"/>
      <c r="Q579" s="123"/>
      <c r="U579" s="124"/>
      <c r="W579" s="125"/>
      <c r="AJ579" s="126"/>
      <c r="AK579" s="126"/>
      <c r="AL579" s="122"/>
    </row>
    <row r="580">
      <c r="C580" s="90"/>
      <c r="D580" s="90"/>
      <c r="E580" s="90"/>
      <c r="F580" s="90"/>
      <c r="G580" s="90"/>
      <c r="H580" s="123"/>
      <c r="I580" s="123"/>
      <c r="J580" s="123"/>
      <c r="K580" s="123"/>
      <c r="L580" s="123"/>
      <c r="M580" s="123"/>
      <c r="N580" s="123"/>
      <c r="O580" s="123"/>
      <c r="P580" s="123"/>
      <c r="Q580" s="123"/>
      <c r="U580" s="124"/>
      <c r="W580" s="125"/>
      <c r="AJ580" s="126"/>
      <c r="AK580" s="126"/>
      <c r="AL580" s="122"/>
    </row>
    <row r="581">
      <c r="C581" s="90"/>
      <c r="D581" s="90"/>
      <c r="E581" s="90"/>
      <c r="F581" s="90"/>
      <c r="G581" s="90"/>
      <c r="H581" s="123"/>
      <c r="I581" s="123"/>
      <c r="J581" s="123"/>
      <c r="K581" s="123"/>
      <c r="L581" s="123"/>
      <c r="M581" s="123"/>
      <c r="N581" s="123"/>
      <c r="O581" s="123"/>
      <c r="P581" s="123"/>
      <c r="Q581" s="123"/>
      <c r="U581" s="124"/>
      <c r="W581" s="125"/>
      <c r="AJ581" s="126"/>
      <c r="AK581" s="126"/>
      <c r="AL581" s="122"/>
    </row>
    <row r="582">
      <c r="C582" s="90"/>
      <c r="D582" s="90"/>
      <c r="E582" s="90"/>
      <c r="F582" s="90"/>
      <c r="G582" s="90"/>
      <c r="H582" s="123"/>
      <c r="I582" s="123"/>
      <c r="J582" s="123"/>
      <c r="K582" s="123"/>
      <c r="L582" s="123"/>
      <c r="M582" s="123"/>
      <c r="N582" s="123"/>
      <c r="O582" s="123"/>
      <c r="P582" s="123"/>
      <c r="Q582" s="123"/>
      <c r="U582" s="124"/>
      <c r="W582" s="125"/>
      <c r="AJ582" s="126"/>
      <c r="AK582" s="126"/>
      <c r="AL582" s="122"/>
    </row>
    <row r="583">
      <c r="C583" s="90"/>
      <c r="D583" s="90"/>
      <c r="E583" s="90"/>
      <c r="F583" s="90"/>
      <c r="G583" s="90"/>
      <c r="H583" s="123"/>
      <c r="I583" s="123"/>
      <c r="J583" s="123"/>
      <c r="K583" s="123"/>
      <c r="L583" s="123"/>
      <c r="M583" s="123"/>
      <c r="N583" s="123"/>
      <c r="O583" s="123"/>
      <c r="P583" s="123"/>
      <c r="Q583" s="123"/>
      <c r="U583" s="124"/>
      <c r="W583" s="125"/>
      <c r="AJ583" s="126"/>
      <c r="AK583" s="126"/>
      <c r="AL583" s="122"/>
    </row>
    <row r="584">
      <c r="C584" s="90"/>
      <c r="D584" s="90"/>
      <c r="E584" s="90"/>
      <c r="F584" s="90"/>
      <c r="G584" s="90"/>
      <c r="H584" s="123"/>
      <c r="I584" s="123"/>
      <c r="J584" s="123"/>
      <c r="K584" s="123"/>
      <c r="L584" s="123"/>
      <c r="M584" s="123"/>
      <c r="N584" s="123"/>
      <c r="O584" s="123"/>
      <c r="P584" s="123"/>
      <c r="Q584" s="123"/>
      <c r="U584" s="124"/>
      <c r="W584" s="125"/>
      <c r="AJ584" s="126"/>
      <c r="AK584" s="126"/>
      <c r="AL584" s="122"/>
    </row>
    <row r="585">
      <c r="C585" s="90"/>
      <c r="D585" s="90"/>
      <c r="E585" s="90"/>
      <c r="F585" s="90"/>
      <c r="G585" s="90"/>
      <c r="H585" s="123"/>
      <c r="I585" s="123"/>
      <c r="J585" s="123"/>
      <c r="K585" s="123"/>
      <c r="L585" s="123"/>
      <c r="M585" s="123"/>
      <c r="N585" s="123"/>
      <c r="O585" s="123"/>
      <c r="P585" s="123"/>
      <c r="Q585" s="123"/>
      <c r="U585" s="124"/>
      <c r="W585" s="125"/>
      <c r="AJ585" s="126"/>
      <c r="AK585" s="126"/>
      <c r="AL585" s="122"/>
    </row>
    <row r="586">
      <c r="C586" s="90"/>
      <c r="D586" s="90"/>
      <c r="E586" s="90"/>
      <c r="F586" s="90"/>
      <c r="G586" s="90"/>
      <c r="H586" s="123"/>
      <c r="I586" s="123"/>
      <c r="J586" s="123"/>
      <c r="K586" s="123"/>
      <c r="L586" s="123"/>
      <c r="M586" s="123"/>
      <c r="N586" s="123"/>
      <c r="O586" s="123"/>
      <c r="P586" s="123"/>
      <c r="Q586" s="123"/>
      <c r="U586" s="124"/>
      <c r="W586" s="125"/>
      <c r="AJ586" s="126"/>
      <c r="AK586" s="126"/>
      <c r="AL586" s="122"/>
    </row>
    <row r="587">
      <c r="C587" s="90"/>
      <c r="D587" s="90"/>
      <c r="E587" s="90"/>
      <c r="F587" s="90"/>
      <c r="G587" s="90"/>
      <c r="H587" s="123"/>
      <c r="I587" s="123"/>
      <c r="J587" s="123"/>
      <c r="K587" s="123"/>
      <c r="L587" s="123"/>
      <c r="M587" s="123"/>
      <c r="N587" s="123"/>
      <c r="O587" s="123"/>
      <c r="P587" s="123"/>
      <c r="Q587" s="123"/>
      <c r="U587" s="124"/>
      <c r="W587" s="125"/>
      <c r="AJ587" s="126"/>
      <c r="AK587" s="126"/>
      <c r="AL587" s="122"/>
    </row>
    <row r="588">
      <c r="C588" s="90"/>
      <c r="D588" s="90"/>
      <c r="E588" s="90"/>
      <c r="F588" s="90"/>
      <c r="G588" s="90"/>
      <c r="H588" s="123"/>
      <c r="I588" s="123"/>
      <c r="J588" s="123"/>
      <c r="K588" s="123"/>
      <c r="L588" s="123"/>
      <c r="M588" s="123"/>
      <c r="N588" s="123"/>
      <c r="O588" s="123"/>
      <c r="P588" s="123"/>
      <c r="Q588" s="123"/>
      <c r="U588" s="124"/>
      <c r="W588" s="125"/>
      <c r="AJ588" s="126"/>
      <c r="AK588" s="126"/>
      <c r="AL588" s="122"/>
    </row>
    <row r="589">
      <c r="C589" s="90"/>
      <c r="D589" s="90"/>
      <c r="E589" s="90"/>
      <c r="F589" s="90"/>
      <c r="G589" s="90"/>
      <c r="H589" s="123"/>
      <c r="I589" s="123"/>
      <c r="J589" s="123"/>
      <c r="K589" s="123"/>
      <c r="L589" s="123"/>
      <c r="M589" s="123"/>
      <c r="N589" s="123"/>
      <c r="O589" s="123"/>
      <c r="P589" s="123"/>
      <c r="Q589" s="123"/>
      <c r="U589" s="124"/>
      <c r="W589" s="125"/>
      <c r="AJ589" s="126"/>
      <c r="AK589" s="126"/>
      <c r="AL589" s="122"/>
    </row>
    <row r="590">
      <c r="C590" s="90"/>
      <c r="D590" s="90"/>
      <c r="E590" s="90"/>
      <c r="F590" s="90"/>
      <c r="G590" s="90"/>
      <c r="H590" s="123"/>
      <c r="I590" s="123"/>
      <c r="J590" s="123"/>
      <c r="K590" s="123"/>
      <c r="L590" s="123"/>
      <c r="M590" s="123"/>
      <c r="N590" s="123"/>
      <c r="O590" s="123"/>
      <c r="P590" s="123"/>
      <c r="Q590" s="123"/>
      <c r="U590" s="124"/>
      <c r="W590" s="125"/>
      <c r="AJ590" s="126"/>
      <c r="AK590" s="126"/>
      <c r="AL590" s="122"/>
    </row>
    <row r="591">
      <c r="C591" s="90"/>
      <c r="D591" s="90"/>
      <c r="E591" s="90"/>
      <c r="F591" s="90"/>
      <c r="G591" s="90"/>
      <c r="H591" s="123"/>
      <c r="I591" s="123"/>
      <c r="J591" s="123"/>
      <c r="K591" s="123"/>
      <c r="L591" s="123"/>
      <c r="M591" s="123"/>
      <c r="N591" s="123"/>
      <c r="O591" s="123"/>
      <c r="P591" s="123"/>
      <c r="Q591" s="123"/>
      <c r="U591" s="124"/>
      <c r="W591" s="125"/>
      <c r="AJ591" s="126"/>
      <c r="AK591" s="126"/>
      <c r="AL591" s="122"/>
    </row>
    <row r="592">
      <c r="C592" s="90"/>
      <c r="D592" s="90"/>
      <c r="E592" s="90"/>
      <c r="F592" s="90"/>
      <c r="G592" s="90"/>
      <c r="H592" s="123"/>
      <c r="I592" s="123"/>
      <c r="J592" s="123"/>
      <c r="K592" s="123"/>
      <c r="L592" s="123"/>
      <c r="M592" s="123"/>
      <c r="N592" s="123"/>
      <c r="O592" s="123"/>
      <c r="P592" s="123"/>
      <c r="Q592" s="123"/>
      <c r="U592" s="124"/>
      <c r="W592" s="125"/>
      <c r="AJ592" s="126"/>
      <c r="AK592" s="126"/>
      <c r="AL592" s="122"/>
    </row>
    <row r="593">
      <c r="C593" s="90"/>
      <c r="D593" s="90"/>
      <c r="E593" s="90"/>
      <c r="F593" s="90"/>
      <c r="G593" s="90"/>
      <c r="H593" s="123"/>
      <c r="I593" s="123"/>
      <c r="J593" s="123"/>
      <c r="K593" s="123"/>
      <c r="L593" s="123"/>
      <c r="M593" s="123"/>
      <c r="N593" s="123"/>
      <c r="O593" s="123"/>
      <c r="P593" s="123"/>
      <c r="Q593" s="123"/>
      <c r="U593" s="124"/>
      <c r="W593" s="125"/>
      <c r="AJ593" s="126"/>
      <c r="AK593" s="126"/>
      <c r="AL593" s="122"/>
    </row>
    <row r="594">
      <c r="C594" s="90"/>
      <c r="D594" s="90"/>
      <c r="E594" s="90"/>
      <c r="F594" s="90"/>
      <c r="G594" s="90"/>
      <c r="H594" s="123"/>
      <c r="I594" s="123"/>
      <c r="J594" s="123"/>
      <c r="K594" s="123"/>
      <c r="L594" s="123"/>
      <c r="M594" s="123"/>
      <c r="N594" s="123"/>
      <c r="O594" s="123"/>
      <c r="P594" s="123"/>
      <c r="Q594" s="123"/>
      <c r="U594" s="124"/>
      <c r="W594" s="125"/>
      <c r="AJ594" s="126"/>
      <c r="AK594" s="126"/>
      <c r="AL594" s="122"/>
    </row>
    <row r="595">
      <c r="C595" s="90"/>
      <c r="D595" s="90"/>
      <c r="E595" s="90"/>
      <c r="F595" s="90"/>
      <c r="G595" s="90"/>
      <c r="H595" s="123"/>
      <c r="I595" s="123"/>
      <c r="J595" s="123"/>
      <c r="K595" s="123"/>
      <c r="L595" s="123"/>
      <c r="M595" s="123"/>
      <c r="N595" s="123"/>
      <c r="O595" s="123"/>
      <c r="P595" s="123"/>
      <c r="Q595" s="123"/>
      <c r="U595" s="124"/>
      <c r="W595" s="125"/>
      <c r="AJ595" s="126"/>
      <c r="AK595" s="126"/>
      <c r="AL595" s="122"/>
    </row>
    <row r="596">
      <c r="C596" s="90"/>
      <c r="D596" s="90"/>
      <c r="E596" s="90"/>
      <c r="F596" s="90"/>
      <c r="G596" s="90"/>
      <c r="H596" s="123"/>
      <c r="I596" s="123"/>
      <c r="J596" s="123"/>
      <c r="K596" s="123"/>
      <c r="L596" s="123"/>
      <c r="M596" s="123"/>
      <c r="N596" s="123"/>
      <c r="O596" s="123"/>
      <c r="P596" s="123"/>
      <c r="Q596" s="123"/>
      <c r="U596" s="124"/>
      <c r="W596" s="125"/>
      <c r="AJ596" s="126"/>
      <c r="AK596" s="126"/>
      <c r="AL596" s="122"/>
    </row>
    <row r="597">
      <c r="C597" s="90"/>
      <c r="D597" s="90"/>
      <c r="E597" s="90"/>
      <c r="F597" s="90"/>
      <c r="G597" s="90"/>
      <c r="H597" s="123"/>
      <c r="I597" s="123"/>
      <c r="J597" s="123"/>
      <c r="K597" s="123"/>
      <c r="L597" s="123"/>
      <c r="M597" s="123"/>
      <c r="N597" s="123"/>
      <c r="O597" s="123"/>
      <c r="P597" s="123"/>
      <c r="Q597" s="123"/>
      <c r="U597" s="124"/>
      <c r="W597" s="125"/>
      <c r="AJ597" s="126"/>
      <c r="AK597" s="126"/>
      <c r="AL597" s="122"/>
    </row>
    <row r="598">
      <c r="C598" s="90"/>
      <c r="D598" s="90"/>
      <c r="E598" s="90"/>
      <c r="F598" s="90"/>
      <c r="G598" s="90"/>
      <c r="H598" s="123"/>
      <c r="I598" s="123"/>
      <c r="J598" s="123"/>
      <c r="K598" s="123"/>
      <c r="L598" s="123"/>
      <c r="M598" s="123"/>
      <c r="N598" s="123"/>
      <c r="O598" s="123"/>
      <c r="P598" s="123"/>
      <c r="Q598" s="123"/>
      <c r="U598" s="124"/>
      <c r="W598" s="125"/>
      <c r="AJ598" s="126"/>
      <c r="AK598" s="126"/>
      <c r="AL598" s="122"/>
    </row>
    <row r="599">
      <c r="C599" s="90"/>
      <c r="D599" s="90"/>
      <c r="E599" s="90"/>
      <c r="F599" s="90"/>
      <c r="G599" s="90"/>
      <c r="H599" s="123"/>
      <c r="I599" s="123"/>
      <c r="J599" s="123"/>
      <c r="K599" s="123"/>
      <c r="L599" s="123"/>
      <c r="M599" s="123"/>
      <c r="N599" s="123"/>
      <c r="O599" s="123"/>
      <c r="P599" s="123"/>
      <c r="Q599" s="123"/>
      <c r="U599" s="124"/>
      <c r="W599" s="125"/>
      <c r="AJ599" s="126"/>
      <c r="AK599" s="126"/>
      <c r="AL599" s="122"/>
    </row>
    <row r="600">
      <c r="C600" s="90"/>
      <c r="D600" s="90"/>
      <c r="E600" s="90"/>
      <c r="F600" s="90"/>
      <c r="G600" s="90"/>
      <c r="H600" s="123"/>
      <c r="I600" s="123"/>
      <c r="J600" s="123"/>
      <c r="K600" s="123"/>
      <c r="L600" s="123"/>
      <c r="M600" s="123"/>
      <c r="N600" s="123"/>
      <c r="O600" s="123"/>
      <c r="P600" s="123"/>
      <c r="Q600" s="123"/>
      <c r="U600" s="124"/>
      <c r="W600" s="125"/>
      <c r="AJ600" s="126"/>
      <c r="AK600" s="126"/>
      <c r="AL600" s="122"/>
    </row>
    <row r="601">
      <c r="C601" s="90"/>
      <c r="D601" s="90"/>
      <c r="E601" s="90"/>
      <c r="F601" s="90"/>
      <c r="G601" s="90"/>
      <c r="H601" s="123"/>
      <c r="I601" s="123"/>
      <c r="J601" s="123"/>
      <c r="K601" s="123"/>
      <c r="L601" s="123"/>
      <c r="M601" s="123"/>
      <c r="N601" s="123"/>
      <c r="O601" s="123"/>
      <c r="P601" s="123"/>
      <c r="Q601" s="123"/>
      <c r="U601" s="124"/>
      <c r="W601" s="125"/>
      <c r="AJ601" s="126"/>
      <c r="AK601" s="126"/>
      <c r="AL601" s="122"/>
    </row>
    <row r="602">
      <c r="C602" s="90"/>
      <c r="D602" s="90"/>
      <c r="E602" s="90"/>
      <c r="F602" s="90"/>
      <c r="G602" s="90"/>
      <c r="H602" s="123"/>
      <c r="I602" s="123"/>
      <c r="J602" s="123"/>
      <c r="K602" s="123"/>
      <c r="L602" s="123"/>
      <c r="M602" s="123"/>
      <c r="N602" s="123"/>
      <c r="O602" s="123"/>
      <c r="P602" s="123"/>
      <c r="Q602" s="123"/>
      <c r="U602" s="124"/>
      <c r="W602" s="125"/>
      <c r="AJ602" s="126"/>
      <c r="AK602" s="126"/>
      <c r="AL602" s="122"/>
    </row>
    <row r="603">
      <c r="C603" s="90"/>
      <c r="D603" s="90"/>
      <c r="E603" s="90"/>
      <c r="F603" s="90"/>
      <c r="G603" s="90"/>
      <c r="H603" s="123"/>
      <c r="I603" s="123"/>
      <c r="J603" s="123"/>
      <c r="K603" s="123"/>
      <c r="L603" s="123"/>
      <c r="M603" s="123"/>
      <c r="N603" s="123"/>
      <c r="O603" s="123"/>
      <c r="P603" s="123"/>
      <c r="Q603" s="123"/>
      <c r="U603" s="124"/>
      <c r="W603" s="125"/>
      <c r="AJ603" s="126"/>
      <c r="AK603" s="126"/>
      <c r="AL603" s="122"/>
    </row>
    <row r="604">
      <c r="C604" s="90"/>
      <c r="D604" s="90"/>
      <c r="E604" s="90"/>
      <c r="F604" s="90"/>
      <c r="G604" s="90"/>
      <c r="H604" s="123"/>
      <c r="I604" s="123"/>
      <c r="J604" s="123"/>
      <c r="K604" s="123"/>
      <c r="L604" s="123"/>
      <c r="M604" s="123"/>
      <c r="N604" s="123"/>
      <c r="O604" s="123"/>
      <c r="P604" s="123"/>
      <c r="Q604" s="123"/>
      <c r="U604" s="124"/>
      <c r="W604" s="125"/>
      <c r="AJ604" s="126"/>
      <c r="AK604" s="126"/>
      <c r="AL604" s="122"/>
    </row>
    <row r="605">
      <c r="C605" s="90"/>
      <c r="D605" s="90"/>
      <c r="E605" s="90"/>
      <c r="F605" s="90"/>
      <c r="G605" s="90"/>
      <c r="H605" s="123"/>
      <c r="I605" s="123"/>
      <c r="J605" s="123"/>
      <c r="K605" s="123"/>
      <c r="L605" s="123"/>
      <c r="M605" s="123"/>
      <c r="N605" s="123"/>
      <c r="O605" s="123"/>
      <c r="P605" s="123"/>
      <c r="Q605" s="123"/>
      <c r="U605" s="124"/>
      <c r="W605" s="125"/>
      <c r="AJ605" s="126"/>
      <c r="AK605" s="126"/>
      <c r="AL605" s="122"/>
    </row>
    <row r="606">
      <c r="C606" s="90"/>
      <c r="D606" s="90"/>
      <c r="E606" s="90"/>
      <c r="F606" s="90"/>
      <c r="G606" s="90"/>
      <c r="H606" s="123"/>
      <c r="I606" s="123"/>
      <c r="J606" s="123"/>
      <c r="K606" s="123"/>
      <c r="L606" s="123"/>
      <c r="M606" s="123"/>
      <c r="N606" s="123"/>
      <c r="O606" s="123"/>
      <c r="P606" s="123"/>
      <c r="Q606" s="123"/>
      <c r="U606" s="124"/>
      <c r="W606" s="125"/>
      <c r="AJ606" s="126"/>
      <c r="AK606" s="126"/>
      <c r="AL606" s="122"/>
    </row>
    <row r="607">
      <c r="C607" s="90"/>
      <c r="D607" s="90"/>
      <c r="E607" s="90"/>
      <c r="F607" s="90"/>
      <c r="G607" s="90"/>
      <c r="H607" s="123"/>
      <c r="I607" s="123"/>
      <c r="J607" s="123"/>
      <c r="K607" s="123"/>
      <c r="L607" s="123"/>
      <c r="M607" s="123"/>
      <c r="N607" s="123"/>
      <c r="O607" s="123"/>
      <c r="P607" s="123"/>
      <c r="Q607" s="123"/>
      <c r="U607" s="124"/>
      <c r="W607" s="125"/>
      <c r="AJ607" s="126"/>
      <c r="AK607" s="126"/>
      <c r="AL607" s="122"/>
    </row>
    <row r="608">
      <c r="C608" s="90"/>
      <c r="D608" s="90"/>
      <c r="E608" s="90"/>
      <c r="F608" s="90"/>
      <c r="G608" s="90"/>
      <c r="H608" s="123"/>
      <c r="I608" s="123"/>
      <c r="J608" s="123"/>
      <c r="K608" s="123"/>
      <c r="L608" s="123"/>
      <c r="M608" s="123"/>
      <c r="N608" s="123"/>
      <c r="O608" s="123"/>
      <c r="P608" s="123"/>
      <c r="Q608" s="123"/>
      <c r="U608" s="124"/>
      <c r="W608" s="125"/>
      <c r="AJ608" s="126"/>
      <c r="AK608" s="126"/>
      <c r="AL608" s="122"/>
    </row>
    <row r="609">
      <c r="C609" s="90"/>
      <c r="D609" s="90"/>
      <c r="E609" s="90"/>
      <c r="F609" s="90"/>
      <c r="G609" s="90"/>
      <c r="H609" s="123"/>
      <c r="I609" s="123"/>
      <c r="J609" s="123"/>
      <c r="K609" s="123"/>
      <c r="L609" s="123"/>
      <c r="M609" s="123"/>
      <c r="N609" s="123"/>
      <c r="O609" s="123"/>
      <c r="P609" s="123"/>
      <c r="Q609" s="123"/>
      <c r="U609" s="124"/>
      <c r="W609" s="125"/>
      <c r="AJ609" s="126"/>
      <c r="AK609" s="126"/>
      <c r="AL609" s="122"/>
    </row>
    <row r="610">
      <c r="C610" s="90"/>
      <c r="D610" s="90"/>
      <c r="E610" s="90"/>
      <c r="F610" s="90"/>
      <c r="G610" s="90"/>
      <c r="H610" s="123"/>
      <c r="I610" s="123"/>
      <c r="J610" s="123"/>
      <c r="K610" s="123"/>
      <c r="L610" s="123"/>
      <c r="M610" s="123"/>
      <c r="N610" s="123"/>
      <c r="O610" s="123"/>
      <c r="P610" s="123"/>
      <c r="Q610" s="123"/>
      <c r="U610" s="124"/>
      <c r="W610" s="125"/>
      <c r="AJ610" s="126"/>
      <c r="AK610" s="126"/>
      <c r="AL610" s="122"/>
    </row>
    <row r="611">
      <c r="C611" s="90"/>
      <c r="D611" s="90"/>
      <c r="E611" s="90"/>
      <c r="F611" s="90"/>
      <c r="G611" s="90"/>
      <c r="H611" s="123"/>
      <c r="I611" s="123"/>
      <c r="J611" s="123"/>
      <c r="K611" s="123"/>
      <c r="L611" s="123"/>
      <c r="M611" s="123"/>
      <c r="N611" s="123"/>
      <c r="O611" s="123"/>
      <c r="P611" s="123"/>
      <c r="Q611" s="123"/>
      <c r="U611" s="124"/>
      <c r="W611" s="125"/>
      <c r="AJ611" s="126"/>
      <c r="AK611" s="126"/>
      <c r="AL611" s="122"/>
    </row>
    <row r="612">
      <c r="C612" s="90"/>
      <c r="D612" s="90"/>
      <c r="E612" s="90"/>
      <c r="F612" s="90"/>
      <c r="G612" s="90"/>
      <c r="H612" s="123"/>
      <c r="I612" s="123"/>
      <c r="J612" s="123"/>
      <c r="K612" s="123"/>
      <c r="L612" s="123"/>
      <c r="M612" s="123"/>
      <c r="N612" s="123"/>
      <c r="O612" s="123"/>
      <c r="P612" s="123"/>
      <c r="Q612" s="123"/>
      <c r="U612" s="124"/>
      <c r="W612" s="125"/>
      <c r="AJ612" s="126"/>
      <c r="AK612" s="126"/>
      <c r="AL612" s="122"/>
    </row>
    <row r="613">
      <c r="C613" s="90"/>
      <c r="D613" s="90"/>
      <c r="E613" s="90"/>
      <c r="F613" s="90"/>
      <c r="G613" s="90"/>
      <c r="H613" s="123"/>
      <c r="I613" s="123"/>
      <c r="J613" s="123"/>
      <c r="K613" s="123"/>
      <c r="L613" s="123"/>
      <c r="M613" s="123"/>
      <c r="N613" s="123"/>
      <c r="O613" s="123"/>
      <c r="P613" s="123"/>
      <c r="Q613" s="123"/>
      <c r="U613" s="124"/>
      <c r="W613" s="125"/>
      <c r="AJ613" s="126"/>
      <c r="AK613" s="126"/>
      <c r="AL613" s="122"/>
    </row>
    <row r="614">
      <c r="C614" s="90"/>
      <c r="D614" s="90"/>
      <c r="E614" s="90"/>
      <c r="F614" s="90"/>
      <c r="G614" s="90"/>
      <c r="H614" s="123"/>
      <c r="I614" s="123"/>
      <c r="J614" s="123"/>
      <c r="K614" s="123"/>
      <c r="L614" s="123"/>
      <c r="M614" s="123"/>
      <c r="N614" s="123"/>
      <c r="O614" s="123"/>
      <c r="P614" s="123"/>
      <c r="Q614" s="123"/>
      <c r="U614" s="124"/>
      <c r="W614" s="125"/>
      <c r="AJ614" s="126"/>
      <c r="AK614" s="126"/>
      <c r="AL614" s="122"/>
    </row>
    <row r="615">
      <c r="C615" s="90"/>
      <c r="D615" s="90"/>
      <c r="E615" s="90"/>
      <c r="F615" s="90"/>
      <c r="G615" s="90"/>
      <c r="H615" s="123"/>
      <c r="I615" s="123"/>
      <c r="J615" s="123"/>
      <c r="K615" s="123"/>
      <c r="L615" s="123"/>
      <c r="M615" s="123"/>
      <c r="N615" s="123"/>
      <c r="O615" s="123"/>
      <c r="P615" s="123"/>
      <c r="Q615" s="123"/>
      <c r="U615" s="124"/>
      <c r="W615" s="125"/>
      <c r="AJ615" s="126"/>
      <c r="AK615" s="126"/>
      <c r="AL615" s="122"/>
    </row>
    <row r="616">
      <c r="C616" s="90"/>
      <c r="D616" s="90"/>
      <c r="E616" s="90"/>
      <c r="F616" s="90"/>
      <c r="G616" s="90"/>
      <c r="H616" s="123"/>
      <c r="I616" s="123"/>
      <c r="J616" s="123"/>
      <c r="K616" s="123"/>
      <c r="L616" s="123"/>
      <c r="M616" s="123"/>
      <c r="N616" s="123"/>
      <c r="O616" s="123"/>
      <c r="P616" s="123"/>
      <c r="Q616" s="123"/>
      <c r="U616" s="124"/>
      <c r="W616" s="125"/>
      <c r="AJ616" s="126"/>
      <c r="AK616" s="126"/>
      <c r="AL616" s="122"/>
    </row>
    <row r="617">
      <c r="C617" s="90"/>
      <c r="D617" s="90"/>
      <c r="E617" s="90"/>
      <c r="F617" s="90"/>
      <c r="G617" s="90"/>
      <c r="H617" s="123"/>
      <c r="I617" s="123"/>
      <c r="J617" s="123"/>
      <c r="K617" s="123"/>
      <c r="L617" s="123"/>
      <c r="M617" s="123"/>
      <c r="N617" s="123"/>
      <c r="O617" s="123"/>
      <c r="P617" s="123"/>
      <c r="Q617" s="123"/>
      <c r="U617" s="124"/>
      <c r="W617" s="125"/>
      <c r="AJ617" s="126"/>
      <c r="AK617" s="126"/>
      <c r="AL617" s="122"/>
    </row>
    <row r="618">
      <c r="C618" s="90"/>
      <c r="D618" s="90"/>
      <c r="E618" s="90"/>
      <c r="F618" s="90"/>
      <c r="G618" s="90"/>
      <c r="H618" s="123"/>
      <c r="I618" s="123"/>
      <c r="J618" s="123"/>
      <c r="K618" s="123"/>
      <c r="L618" s="123"/>
      <c r="M618" s="123"/>
      <c r="N618" s="123"/>
      <c r="O618" s="123"/>
      <c r="P618" s="123"/>
      <c r="Q618" s="123"/>
      <c r="U618" s="124"/>
      <c r="W618" s="125"/>
      <c r="AJ618" s="126"/>
      <c r="AK618" s="126"/>
      <c r="AL618" s="122"/>
    </row>
    <row r="619">
      <c r="C619" s="90"/>
      <c r="D619" s="90"/>
      <c r="E619" s="90"/>
      <c r="F619" s="90"/>
      <c r="G619" s="90"/>
      <c r="H619" s="123"/>
      <c r="I619" s="123"/>
      <c r="J619" s="123"/>
      <c r="K619" s="123"/>
      <c r="L619" s="123"/>
      <c r="M619" s="123"/>
      <c r="N619" s="123"/>
      <c r="O619" s="123"/>
      <c r="P619" s="123"/>
      <c r="Q619" s="123"/>
      <c r="U619" s="124"/>
      <c r="W619" s="125"/>
      <c r="AJ619" s="126"/>
      <c r="AK619" s="126"/>
      <c r="AL619" s="122"/>
    </row>
    <row r="620">
      <c r="C620" s="90"/>
      <c r="D620" s="90"/>
      <c r="E620" s="90"/>
      <c r="F620" s="90"/>
      <c r="G620" s="90"/>
      <c r="H620" s="123"/>
      <c r="I620" s="123"/>
      <c r="J620" s="123"/>
      <c r="K620" s="123"/>
      <c r="L620" s="123"/>
      <c r="M620" s="123"/>
      <c r="N620" s="123"/>
      <c r="O620" s="123"/>
      <c r="P620" s="123"/>
      <c r="Q620" s="123"/>
      <c r="U620" s="124"/>
      <c r="W620" s="125"/>
      <c r="AJ620" s="126"/>
      <c r="AK620" s="126"/>
      <c r="AL620" s="122"/>
    </row>
    <row r="621">
      <c r="C621" s="90"/>
      <c r="D621" s="90"/>
      <c r="E621" s="90"/>
      <c r="F621" s="90"/>
      <c r="G621" s="90"/>
      <c r="H621" s="123"/>
      <c r="I621" s="123"/>
      <c r="J621" s="123"/>
      <c r="K621" s="123"/>
      <c r="L621" s="123"/>
      <c r="M621" s="123"/>
      <c r="N621" s="123"/>
      <c r="O621" s="123"/>
      <c r="P621" s="123"/>
      <c r="Q621" s="123"/>
      <c r="U621" s="124"/>
      <c r="W621" s="125"/>
      <c r="AJ621" s="126"/>
      <c r="AK621" s="126"/>
      <c r="AL621" s="122"/>
    </row>
    <row r="622">
      <c r="C622" s="90"/>
      <c r="D622" s="90"/>
      <c r="E622" s="90"/>
      <c r="F622" s="90"/>
      <c r="G622" s="90"/>
      <c r="H622" s="123"/>
      <c r="I622" s="123"/>
      <c r="J622" s="123"/>
      <c r="K622" s="123"/>
      <c r="L622" s="123"/>
      <c r="M622" s="123"/>
      <c r="N622" s="123"/>
      <c r="O622" s="123"/>
      <c r="P622" s="123"/>
      <c r="Q622" s="123"/>
      <c r="U622" s="124"/>
      <c r="W622" s="125"/>
      <c r="AJ622" s="126"/>
      <c r="AK622" s="126"/>
      <c r="AL622" s="122"/>
    </row>
    <row r="623">
      <c r="C623" s="90"/>
      <c r="D623" s="90"/>
      <c r="E623" s="90"/>
      <c r="F623" s="90"/>
      <c r="G623" s="90"/>
      <c r="H623" s="123"/>
      <c r="I623" s="123"/>
      <c r="J623" s="123"/>
      <c r="K623" s="123"/>
      <c r="L623" s="123"/>
      <c r="M623" s="123"/>
      <c r="N623" s="123"/>
      <c r="O623" s="123"/>
      <c r="P623" s="123"/>
      <c r="Q623" s="123"/>
      <c r="U623" s="124"/>
      <c r="W623" s="125"/>
      <c r="AJ623" s="126"/>
      <c r="AK623" s="126"/>
      <c r="AL623" s="122"/>
    </row>
    <row r="624">
      <c r="C624" s="90"/>
      <c r="D624" s="90"/>
      <c r="E624" s="90"/>
      <c r="F624" s="90"/>
      <c r="G624" s="90"/>
      <c r="H624" s="123"/>
      <c r="I624" s="123"/>
      <c r="J624" s="123"/>
      <c r="K624" s="123"/>
      <c r="L624" s="123"/>
      <c r="M624" s="123"/>
      <c r="N624" s="123"/>
      <c r="O624" s="123"/>
      <c r="P624" s="123"/>
      <c r="Q624" s="123"/>
      <c r="U624" s="124"/>
      <c r="W624" s="125"/>
      <c r="AJ624" s="126"/>
      <c r="AK624" s="126"/>
      <c r="AL624" s="122"/>
    </row>
    <row r="625">
      <c r="C625" s="90"/>
      <c r="D625" s="90"/>
      <c r="E625" s="90"/>
      <c r="F625" s="90"/>
      <c r="G625" s="90"/>
      <c r="H625" s="123"/>
      <c r="I625" s="123"/>
      <c r="J625" s="123"/>
      <c r="K625" s="123"/>
      <c r="L625" s="123"/>
      <c r="M625" s="123"/>
      <c r="N625" s="123"/>
      <c r="O625" s="123"/>
      <c r="P625" s="123"/>
      <c r="Q625" s="123"/>
      <c r="U625" s="124"/>
      <c r="W625" s="125"/>
      <c r="AJ625" s="126"/>
      <c r="AK625" s="126"/>
      <c r="AL625" s="122"/>
    </row>
    <row r="626">
      <c r="C626" s="90"/>
      <c r="D626" s="90"/>
      <c r="E626" s="90"/>
      <c r="F626" s="90"/>
      <c r="G626" s="90"/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U626" s="124"/>
      <c r="W626" s="125"/>
      <c r="AJ626" s="126"/>
      <c r="AK626" s="126"/>
      <c r="AL626" s="122"/>
    </row>
    <row r="627">
      <c r="C627" s="90"/>
      <c r="D627" s="90"/>
      <c r="E627" s="90"/>
      <c r="F627" s="90"/>
      <c r="G627" s="90"/>
      <c r="H627" s="123"/>
      <c r="I627" s="123"/>
      <c r="J627" s="123"/>
      <c r="K627" s="123"/>
      <c r="L627" s="123"/>
      <c r="M627" s="123"/>
      <c r="N627" s="123"/>
      <c r="O627" s="123"/>
      <c r="P627" s="123"/>
      <c r="Q627" s="123"/>
      <c r="U627" s="124"/>
      <c r="W627" s="125"/>
      <c r="AJ627" s="126"/>
      <c r="AK627" s="126"/>
      <c r="AL627" s="122"/>
    </row>
    <row r="628">
      <c r="C628" s="90"/>
      <c r="D628" s="90"/>
      <c r="E628" s="90"/>
      <c r="F628" s="90"/>
      <c r="G628" s="90"/>
      <c r="H628" s="123"/>
      <c r="I628" s="123"/>
      <c r="J628" s="123"/>
      <c r="K628" s="123"/>
      <c r="L628" s="123"/>
      <c r="M628" s="123"/>
      <c r="N628" s="123"/>
      <c r="O628" s="123"/>
      <c r="P628" s="123"/>
      <c r="Q628" s="123"/>
      <c r="U628" s="124"/>
      <c r="W628" s="125"/>
      <c r="AJ628" s="126"/>
      <c r="AK628" s="126"/>
      <c r="AL628" s="122"/>
    </row>
    <row r="629">
      <c r="C629" s="90"/>
      <c r="D629" s="90"/>
      <c r="E629" s="90"/>
      <c r="F629" s="90"/>
      <c r="G629" s="90"/>
      <c r="H629" s="123"/>
      <c r="I629" s="123"/>
      <c r="J629" s="123"/>
      <c r="K629" s="123"/>
      <c r="L629" s="123"/>
      <c r="M629" s="123"/>
      <c r="N629" s="123"/>
      <c r="O629" s="123"/>
      <c r="P629" s="123"/>
      <c r="Q629" s="123"/>
      <c r="U629" s="124"/>
      <c r="W629" s="125"/>
      <c r="AJ629" s="126"/>
      <c r="AK629" s="126"/>
      <c r="AL629" s="122"/>
    </row>
    <row r="630">
      <c r="C630" s="90"/>
      <c r="D630" s="90"/>
      <c r="E630" s="90"/>
      <c r="F630" s="90"/>
      <c r="G630" s="90"/>
      <c r="H630" s="123"/>
      <c r="I630" s="123"/>
      <c r="J630" s="123"/>
      <c r="K630" s="123"/>
      <c r="L630" s="123"/>
      <c r="M630" s="123"/>
      <c r="N630" s="123"/>
      <c r="O630" s="123"/>
      <c r="P630" s="123"/>
      <c r="Q630" s="123"/>
      <c r="U630" s="124"/>
      <c r="W630" s="125"/>
      <c r="AJ630" s="126"/>
      <c r="AK630" s="126"/>
      <c r="AL630" s="122"/>
    </row>
    <row r="631">
      <c r="C631" s="90"/>
      <c r="D631" s="90"/>
      <c r="E631" s="90"/>
      <c r="F631" s="90"/>
      <c r="G631" s="90"/>
      <c r="H631" s="123"/>
      <c r="I631" s="123"/>
      <c r="J631" s="123"/>
      <c r="K631" s="123"/>
      <c r="L631" s="123"/>
      <c r="M631" s="123"/>
      <c r="N631" s="123"/>
      <c r="O631" s="123"/>
      <c r="P631" s="123"/>
      <c r="Q631" s="123"/>
      <c r="U631" s="124"/>
      <c r="W631" s="125"/>
      <c r="AJ631" s="126"/>
      <c r="AK631" s="126"/>
      <c r="AL631" s="122"/>
    </row>
    <row r="632">
      <c r="C632" s="90"/>
      <c r="D632" s="90"/>
      <c r="E632" s="90"/>
      <c r="F632" s="90"/>
      <c r="G632" s="90"/>
      <c r="H632" s="123"/>
      <c r="I632" s="123"/>
      <c r="J632" s="123"/>
      <c r="K632" s="123"/>
      <c r="L632" s="123"/>
      <c r="M632" s="123"/>
      <c r="N632" s="123"/>
      <c r="O632" s="123"/>
      <c r="P632" s="123"/>
      <c r="Q632" s="123"/>
      <c r="U632" s="124"/>
      <c r="W632" s="125"/>
      <c r="AJ632" s="126"/>
      <c r="AK632" s="126"/>
      <c r="AL632" s="122"/>
    </row>
    <row r="633">
      <c r="C633" s="90"/>
      <c r="D633" s="90"/>
      <c r="E633" s="90"/>
      <c r="F633" s="90"/>
      <c r="G633" s="90"/>
      <c r="H633" s="123"/>
      <c r="I633" s="123"/>
      <c r="J633" s="123"/>
      <c r="K633" s="123"/>
      <c r="L633" s="123"/>
      <c r="M633" s="123"/>
      <c r="N633" s="123"/>
      <c r="O633" s="123"/>
      <c r="P633" s="123"/>
      <c r="Q633" s="123"/>
      <c r="U633" s="124"/>
      <c r="W633" s="125"/>
      <c r="AJ633" s="126"/>
      <c r="AK633" s="126"/>
      <c r="AL633" s="122"/>
    </row>
    <row r="634">
      <c r="C634" s="90"/>
      <c r="D634" s="90"/>
      <c r="E634" s="90"/>
      <c r="F634" s="90"/>
      <c r="G634" s="90"/>
      <c r="H634" s="123"/>
      <c r="I634" s="123"/>
      <c r="J634" s="123"/>
      <c r="K634" s="123"/>
      <c r="L634" s="123"/>
      <c r="M634" s="123"/>
      <c r="N634" s="123"/>
      <c r="O634" s="123"/>
      <c r="P634" s="123"/>
      <c r="Q634" s="123"/>
      <c r="U634" s="124"/>
      <c r="W634" s="125"/>
      <c r="AJ634" s="126"/>
      <c r="AK634" s="126"/>
      <c r="AL634" s="122"/>
    </row>
    <row r="635">
      <c r="C635" s="90"/>
      <c r="D635" s="90"/>
      <c r="E635" s="90"/>
      <c r="F635" s="90"/>
      <c r="G635" s="90"/>
      <c r="H635" s="123"/>
      <c r="I635" s="123"/>
      <c r="J635" s="123"/>
      <c r="K635" s="123"/>
      <c r="L635" s="123"/>
      <c r="M635" s="123"/>
      <c r="N635" s="123"/>
      <c r="O635" s="123"/>
      <c r="P635" s="123"/>
      <c r="Q635" s="123"/>
      <c r="U635" s="124"/>
      <c r="W635" s="125"/>
      <c r="AJ635" s="126"/>
      <c r="AK635" s="126"/>
      <c r="AL635" s="122"/>
    </row>
    <row r="636">
      <c r="C636" s="90"/>
      <c r="D636" s="90"/>
      <c r="E636" s="90"/>
      <c r="F636" s="90"/>
      <c r="G636" s="90"/>
      <c r="H636" s="123"/>
      <c r="I636" s="123"/>
      <c r="J636" s="123"/>
      <c r="K636" s="123"/>
      <c r="L636" s="123"/>
      <c r="M636" s="123"/>
      <c r="N636" s="123"/>
      <c r="O636" s="123"/>
      <c r="P636" s="123"/>
      <c r="Q636" s="123"/>
      <c r="U636" s="124"/>
      <c r="W636" s="125"/>
      <c r="AJ636" s="126"/>
      <c r="AK636" s="126"/>
      <c r="AL636" s="122"/>
    </row>
    <row r="637">
      <c r="C637" s="90"/>
      <c r="D637" s="90"/>
      <c r="E637" s="90"/>
      <c r="F637" s="90"/>
      <c r="G637" s="90"/>
      <c r="H637" s="123"/>
      <c r="I637" s="123"/>
      <c r="J637" s="123"/>
      <c r="K637" s="123"/>
      <c r="L637" s="123"/>
      <c r="M637" s="123"/>
      <c r="N637" s="123"/>
      <c r="O637" s="123"/>
      <c r="P637" s="123"/>
      <c r="Q637" s="123"/>
      <c r="U637" s="124"/>
      <c r="W637" s="125"/>
      <c r="AJ637" s="126"/>
      <c r="AK637" s="126"/>
      <c r="AL637" s="122"/>
    </row>
    <row r="638">
      <c r="C638" s="90"/>
      <c r="D638" s="90"/>
      <c r="E638" s="90"/>
      <c r="F638" s="90"/>
      <c r="G638" s="90"/>
      <c r="H638" s="123"/>
      <c r="I638" s="123"/>
      <c r="J638" s="123"/>
      <c r="K638" s="123"/>
      <c r="L638" s="123"/>
      <c r="M638" s="123"/>
      <c r="N638" s="123"/>
      <c r="O638" s="123"/>
      <c r="P638" s="123"/>
      <c r="Q638" s="123"/>
      <c r="U638" s="124"/>
      <c r="W638" s="125"/>
      <c r="AJ638" s="126"/>
      <c r="AK638" s="126"/>
      <c r="AL638" s="122"/>
    </row>
    <row r="639">
      <c r="C639" s="90"/>
      <c r="D639" s="90"/>
      <c r="E639" s="90"/>
      <c r="F639" s="90"/>
      <c r="G639" s="90"/>
      <c r="H639" s="123"/>
      <c r="I639" s="123"/>
      <c r="J639" s="123"/>
      <c r="K639" s="123"/>
      <c r="L639" s="123"/>
      <c r="M639" s="123"/>
      <c r="N639" s="123"/>
      <c r="O639" s="123"/>
      <c r="P639" s="123"/>
      <c r="Q639" s="123"/>
      <c r="U639" s="124"/>
      <c r="W639" s="125"/>
      <c r="AJ639" s="126"/>
      <c r="AK639" s="126"/>
      <c r="AL639" s="122"/>
    </row>
    <row r="640">
      <c r="C640" s="90"/>
      <c r="D640" s="90"/>
      <c r="E640" s="90"/>
      <c r="F640" s="90"/>
      <c r="G640" s="90"/>
      <c r="H640" s="123"/>
      <c r="I640" s="123"/>
      <c r="J640" s="123"/>
      <c r="K640" s="123"/>
      <c r="L640" s="123"/>
      <c r="M640" s="123"/>
      <c r="N640" s="123"/>
      <c r="O640" s="123"/>
      <c r="P640" s="123"/>
      <c r="Q640" s="123"/>
      <c r="U640" s="124"/>
      <c r="W640" s="125"/>
      <c r="AJ640" s="126"/>
      <c r="AK640" s="126"/>
      <c r="AL640" s="122"/>
    </row>
    <row r="641">
      <c r="C641" s="90"/>
      <c r="D641" s="90"/>
      <c r="E641" s="90"/>
      <c r="F641" s="90"/>
      <c r="G641" s="90"/>
      <c r="H641" s="123"/>
      <c r="I641" s="123"/>
      <c r="J641" s="123"/>
      <c r="K641" s="123"/>
      <c r="L641" s="123"/>
      <c r="M641" s="123"/>
      <c r="N641" s="123"/>
      <c r="O641" s="123"/>
      <c r="P641" s="123"/>
      <c r="Q641" s="123"/>
      <c r="U641" s="124"/>
      <c r="W641" s="125"/>
      <c r="AJ641" s="126"/>
      <c r="AK641" s="126"/>
      <c r="AL641" s="122"/>
    </row>
    <row r="642">
      <c r="C642" s="90"/>
      <c r="D642" s="90"/>
      <c r="E642" s="90"/>
      <c r="F642" s="90"/>
      <c r="G642" s="90"/>
      <c r="H642" s="123"/>
      <c r="I642" s="123"/>
      <c r="J642" s="123"/>
      <c r="K642" s="123"/>
      <c r="L642" s="123"/>
      <c r="M642" s="123"/>
      <c r="N642" s="123"/>
      <c r="O642" s="123"/>
      <c r="P642" s="123"/>
      <c r="Q642" s="123"/>
      <c r="U642" s="124"/>
      <c r="W642" s="125"/>
      <c r="AJ642" s="126"/>
      <c r="AK642" s="126"/>
      <c r="AL642" s="122"/>
    </row>
    <row r="643">
      <c r="C643" s="90"/>
      <c r="D643" s="90"/>
      <c r="E643" s="90"/>
      <c r="F643" s="90"/>
      <c r="G643" s="90"/>
      <c r="H643" s="123"/>
      <c r="I643" s="123"/>
      <c r="J643" s="123"/>
      <c r="K643" s="123"/>
      <c r="L643" s="123"/>
      <c r="M643" s="123"/>
      <c r="N643" s="123"/>
      <c r="O643" s="123"/>
      <c r="P643" s="123"/>
      <c r="Q643" s="123"/>
      <c r="U643" s="124"/>
      <c r="W643" s="125"/>
      <c r="AJ643" s="126"/>
      <c r="AK643" s="126"/>
      <c r="AL643" s="122"/>
    </row>
    <row r="644">
      <c r="C644" s="90"/>
      <c r="D644" s="90"/>
      <c r="E644" s="90"/>
      <c r="F644" s="90"/>
      <c r="G644" s="90"/>
      <c r="H644" s="123"/>
      <c r="I644" s="123"/>
      <c r="J644" s="123"/>
      <c r="K644" s="123"/>
      <c r="L644" s="123"/>
      <c r="M644" s="123"/>
      <c r="N644" s="123"/>
      <c r="O644" s="123"/>
      <c r="P644" s="123"/>
      <c r="Q644" s="123"/>
      <c r="U644" s="124"/>
      <c r="W644" s="125"/>
      <c r="AJ644" s="126"/>
      <c r="AK644" s="126"/>
      <c r="AL644" s="122"/>
    </row>
    <row r="645">
      <c r="C645" s="90"/>
      <c r="D645" s="90"/>
      <c r="E645" s="90"/>
      <c r="F645" s="90"/>
      <c r="G645" s="90"/>
      <c r="H645" s="123"/>
      <c r="I645" s="123"/>
      <c r="J645" s="123"/>
      <c r="K645" s="123"/>
      <c r="L645" s="123"/>
      <c r="M645" s="123"/>
      <c r="N645" s="123"/>
      <c r="O645" s="123"/>
      <c r="P645" s="123"/>
      <c r="Q645" s="123"/>
      <c r="U645" s="124"/>
      <c r="W645" s="125"/>
      <c r="AJ645" s="126"/>
      <c r="AK645" s="126"/>
      <c r="AL645" s="122"/>
    </row>
    <row r="646">
      <c r="C646" s="90"/>
      <c r="D646" s="90"/>
      <c r="E646" s="90"/>
      <c r="F646" s="90"/>
      <c r="G646" s="90"/>
      <c r="H646" s="123"/>
      <c r="I646" s="123"/>
      <c r="J646" s="123"/>
      <c r="K646" s="123"/>
      <c r="L646" s="123"/>
      <c r="M646" s="123"/>
      <c r="N646" s="123"/>
      <c r="O646" s="123"/>
      <c r="P646" s="123"/>
      <c r="Q646" s="123"/>
      <c r="U646" s="124"/>
      <c r="W646" s="125"/>
      <c r="AJ646" s="126"/>
      <c r="AK646" s="126"/>
      <c r="AL646" s="122"/>
    </row>
    <row r="647">
      <c r="C647" s="90"/>
      <c r="D647" s="90"/>
      <c r="E647" s="90"/>
      <c r="F647" s="90"/>
      <c r="G647" s="90"/>
      <c r="H647" s="123"/>
      <c r="I647" s="123"/>
      <c r="J647" s="123"/>
      <c r="K647" s="123"/>
      <c r="L647" s="123"/>
      <c r="M647" s="123"/>
      <c r="N647" s="123"/>
      <c r="O647" s="123"/>
      <c r="P647" s="123"/>
      <c r="Q647" s="123"/>
      <c r="U647" s="124"/>
      <c r="W647" s="125"/>
      <c r="AJ647" s="126"/>
      <c r="AK647" s="126"/>
      <c r="AL647" s="122"/>
    </row>
    <row r="648">
      <c r="C648" s="90"/>
      <c r="D648" s="90"/>
      <c r="E648" s="90"/>
      <c r="F648" s="90"/>
      <c r="G648" s="90"/>
      <c r="H648" s="123"/>
      <c r="I648" s="123"/>
      <c r="J648" s="123"/>
      <c r="K648" s="123"/>
      <c r="L648" s="123"/>
      <c r="M648" s="123"/>
      <c r="N648" s="123"/>
      <c r="O648" s="123"/>
      <c r="P648" s="123"/>
      <c r="Q648" s="123"/>
      <c r="U648" s="124"/>
      <c r="W648" s="125"/>
      <c r="AJ648" s="126"/>
      <c r="AK648" s="126"/>
      <c r="AL648" s="122"/>
    </row>
    <row r="649">
      <c r="C649" s="90"/>
      <c r="D649" s="90"/>
      <c r="E649" s="90"/>
      <c r="F649" s="90"/>
      <c r="G649" s="90"/>
      <c r="H649" s="123"/>
      <c r="I649" s="123"/>
      <c r="J649" s="123"/>
      <c r="K649" s="123"/>
      <c r="L649" s="123"/>
      <c r="M649" s="123"/>
      <c r="N649" s="123"/>
      <c r="O649" s="123"/>
      <c r="P649" s="123"/>
      <c r="Q649" s="123"/>
      <c r="U649" s="124"/>
      <c r="W649" s="125"/>
      <c r="AJ649" s="126"/>
      <c r="AK649" s="126"/>
      <c r="AL649" s="122"/>
    </row>
    <row r="650">
      <c r="C650" s="90"/>
      <c r="D650" s="90"/>
      <c r="E650" s="90"/>
      <c r="F650" s="90"/>
      <c r="G650" s="90"/>
      <c r="H650" s="123"/>
      <c r="I650" s="123"/>
      <c r="J650" s="123"/>
      <c r="K650" s="123"/>
      <c r="L650" s="123"/>
      <c r="M650" s="123"/>
      <c r="N650" s="123"/>
      <c r="O650" s="123"/>
      <c r="P650" s="123"/>
      <c r="Q650" s="123"/>
      <c r="U650" s="124"/>
      <c r="W650" s="125"/>
      <c r="AJ650" s="126"/>
      <c r="AK650" s="126"/>
      <c r="AL650" s="122"/>
    </row>
    <row r="651">
      <c r="C651" s="90"/>
      <c r="D651" s="90"/>
      <c r="E651" s="90"/>
      <c r="F651" s="90"/>
      <c r="G651" s="90"/>
      <c r="H651" s="123"/>
      <c r="I651" s="123"/>
      <c r="J651" s="123"/>
      <c r="K651" s="123"/>
      <c r="L651" s="123"/>
      <c r="M651" s="123"/>
      <c r="N651" s="123"/>
      <c r="O651" s="123"/>
      <c r="P651" s="123"/>
      <c r="Q651" s="123"/>
      <c r="U651" s="124"/>
      <c r="W651" s="125"/>
      <c r="AJ651" s="126"/>
      <c r="AK651" s="126"/>
      <c r="AL651" s="122"/>
    </row>
    <row r="652">
      <c r="C652" s="90"/>
      <c r="D652" s="90"/>
      <c r="E652" s="90"/>
      <c r="F652" s="90"/>
      <c r="G652" s="90"/>
      <c r="H652" s="123"/>
      <c r="I652" s="123"/>
      <c r="J652" s="123"/>
      <c r="K652" s="123"/>
      <c r="L652" s="123"/>
      <c r="M652" s="123"/>
      <c r="N652" s="123"/>
      <c r="O652" s="123"/>
      <c r="P652" s="123"/>
      <c r="Q652" s="123"/>
      <c r="U652" s="124"/>
      <c r="W652" s="125"/>
      <c r="AJ652" s="126"/>
      <c r="AK652" s="126"/>
      <c r="AL652" s="122"/>
    </row>
    <row r="653">
      <c r="C653" s="90"/>
      <c r="D653" s="90"/>
      <c r="E653" s="90"/>
      <c r="F653" s="90"/>
      <c r="G653" s="90"/>
      <c r="H653" s="123"/>
      <c r="I653" s="123"/>
      <c r="J653" s="123"/>
      <c r="K653" s="123"/>
      <c r="L653" s="123"/>
      <c r="M653" s="123"/>
      <c r="N653" s="123"/>
      <c r="O653" s="123"/>
      <c r="P653" s="123"/>
      <c r="Q653" s="123"/>
      <c r="U653" s="124"/>
      <c r="W653" s="125"/>
      <c r="AJ653" s="126"/>
      <c r="AK653" s="126"/>
      <c r="AL653" s="122"/>
    </row>
    <row r="654">
      <c r="C654" s="90"/>
      <c r="D654" s="90"/>
      <c r="E654" s="90"/>
      <c r="F654" s="90"/>
      <c r="G654" s="90"/>
      <c r="H654" s="123"/>
      <c r="I654" s="123"/>
      <c r="J654" s="123"/>
      <c r="K654" s="123"/>
      <c r="L654" s="123"/>
      <c r="M654" s="123"/>
      <c r="N654" s="123"/>
      <c r="O654" s="123"/>
      <c r="P654" s="123"/>
      <c r="Q654" s="123"/>
      <c r="U654" s="124"/>
      <c r="W654" s="125"/>
      <c r="AJ654" s="126"/>
      <c r="AK654" s="126"/>
      <c r="AL654" s="122"/>
    </row>
    <row r="655">
      <c r="C655" s="90"/>
      <c r="D655" s="90"/>
      <c r="E655" s="90"/>
      <c r="F655" s="90"/>
      <c r="G655" s="90"/>
      <c r="H655" s="123"/>
      <c r="I655" s="123"/>
      <c r="J655" s="123"/>
      <c r="K655" s="123"/>
      <c r="L655" s="123"/>
      <c r="M655" s="123"/>
      <c r="N655" s="123"/>
      <c r="O655" s="123"/>
      <c r="P655" s="123"/>
      <c r="Q655" s="123"/>
      <c r="U655" s="124"/>
      <c r="W655" s="125"/>
      <c r="AJ655" s="126"/>
      <c r="AK655" s="126"/>
      <c r="AL655" s="122"/>
    </row>
    <row r="656">
      <c r="C656" s="90"/>
      <c r="D656" s="90"/>
      <c r="E656" s="90"/>
      <c r="F656" s="90"/>
      <c r="G656" s="90"/>
      <c r="H656" s="123"/>
      <c r="I656" s="123"/>
      <c r="J656" s="123"/>
      <c r="K656" s="123"/>
      <c r="L656" s="123"/>
      <c r="M656" s="123"/>
      <c r="N656" s="123"/>
      <c r="O656" s="123"/>
      <c r="P656" s="123"/>
      <c r="Q656" s="123"/>
      <c r="U656" s="124"/>
      <c r="W656" s="125"/>
      <c r="AJ656" s="126"/>
      <c r="AK656" s="126"/>
      <c r="AL656" s="122"/>
    </row>
    <row r="657">
      <c r="C657" s="90"/>
      <c r="D657" s="90"/>
      <c r="E657" s="90"/>
      <c r="F657" s="90"/>
      <c r="G657" s="90"/>
      <c r="H657" s="123"/>
      <c r="I657" s="123"/>
      <c r="J657" s="123"/>
      <c r="K657" s="123"/>
      <c r="L657" s="123"/>
      <c r="M657" s="123"/>
      <c r="N657" s="123"/>
      <c r="O657" s="123"/>
      <c r="P657" s="123"/>
      <c r="Q657" s="123"/>
      <c r="U657" s="124"/>
      <c r="W657" s="125"/>
      <c r="AJ657" s="126"/>
      <c r="AK657" s="126"/>
      <c r="AL657" s="122"/>
    </row>
    <row r="658">
      <c r="C658" s="90"/>
      <c r="D658" s="90"/>
      <c r="E658" s="90"/>
      <c r="F658" s="90"/>
      <c r="G658" s="90"/>
      <c r="H658" s="123"/>
      <c r="I658" s="123"/>
      <c r="J658" s="123"/>
      <c r="K658" s="123"/>
      <c r="L658" s="123"/>
      <c r="M658" s="123"/>
      <c r="N658" s="123"/>
      <c r="O658" s="123"/>
      <c r="P658" s="123"/>
      <c r="Q658" s="123"/>
      <c r="U658" s="124"/>
      <c r="W658" s="125"/>
      <c r="AJ658" s="126"/>
      <c r="AK658" s="126"/>
      <c r="AL658" s="122"/>
    </row>
    <row r="659">
      <c r="C659" s="90"/>
      <c r="D659" s="90"/>
      <c r="E659" s="90"/>
      <c r="F659" s="90"/>
      <c r="G659" s="90"/>
      <c r="H659" s="123"/>
      <c r="I659" s="123"/>
      <c r="J659" s="123"/>
      <c r="K659" s="123"/>
      <c r="L659" s="123"/>
      <c r="M659" s="123"/>
      <c r="N659" s="123"/>
      <c r="O659" s="123"/>
      <c r="P659" s="123"/>
      <c r="Q659" s="123"/>
      <c r="U659" s="124"/>
      <c r="W659" s="125"/>
      <c r="AJ659" s="126"/>
      <c r="AK659" s="126"/>
      <c r="AL659" s="122"/>
    </row>
    <row r="660">
      <c r="C660" s="90"/>
      <c r="D660" s="90"/>
      <c r="E660" s="90"/>
      <c r="F660" s="90"/>
      <c r="G660" s="90"/>
      <c r="H660" s="123"/>
      <c r="I660" s="123"/>
      <c r="J660" s="123"/>
      <c r="K660" s="123"/>
      <c r="L660" s="123"/>
      <c r="M660" s="123"/>
      <c r="N660" s="123"/>
      <c r="O660" s="123"/>
      <c r="P660" s="123"/>
      <c r="Q660" s="123"/>
      <c r="U660" s="124"/>
      <c r="W660" s="125"/>
      <c r="AJ660" s="126"/>
      <c r="AK660" s="126"/>
      <c r="AL660" s="122"/>
    </row>
    <row r="661">
      <c r="C661" s="90"/>
      <c r="D661" s="90"/>
      <c r="E661" s="90"/>
      <c r="F661" s="90"/>
      <c r="G661" s="90"/>
      <c r="H661" s="123"/>
      <c r="I661" s="123"/>
      <c r="J661" s="123"/>
      <c r="K661" s="123"/>
      <c r="L661" s="123"/>
      <c r="M661" s="123"/>
      <c r="N661" s="123"/>
      <c r="O661" s="123"/>
      <c r="P661" s="123"/>
      <c r="Q661" s="123"/>
      <c r="U661" s="124"/>
      <c r="W661" s="125"/>
      <c r="AJ661" s="126"/>
      <c r="AK661" s="126"/>
      <c r="AL661" s="122"/>
    </row>
    <row r="662">
      <c r="C662" s="90"/>
      <c r="D662" s="90"/>
      <c r="E662" s="90"/>
      <c r="F662" s="90"/>
      <c r="G662" s="90"/>
      <c r="H662" s="123"/>
      <c r="I662" s="123"/>
      <c r="J662" s="123"/>
      <c r="K662" s="123"/>
      <c r="L662" s="123"/>
      <c r="M662" s="123"/>
      <c r="N662" s="123"/>
      <c r="O662" s="123"/>
      <c r="P662" s="123"/>
      <c r="Q662" s="123"/>
      <c r="U662" s="124"/>
      <c r="W662" s="125"/>
      <c r="AJ662" s="126"/>
      <c r="AK662" s="126"/>
      <c r="AL662" s="122"/>
    </row>
    <row r="663">
      <c r="C663" s="90"/>
      <c r="D663" s="90"/>
      <c r="E663" s="90"/>
      <c r="F663" s="90"/>
      <c r="G663" s="90"/>
      <c r="H663" s="123"/>
      <c r="I663" s="123"/>
      <c r="J663" s="123"/>
      <c r="K663" s="123"/>
      <c r="L663" s="123"/>
      <c r="M663" s="123"/>
      <c r="N663" s="123"/>
      <c r="O663" s="123"/>
      <c r="P663" s="123"/>
      <c r="Q663" s="123"/>
      <c r="U663" s="124"/>
      <c r="W663" s="125"/>
      <c r="AJ663" s="126"/>
      <c r="AK663" s="126"/>
      <c r="AL663" s="122"/>
    </row>
    <row r="664">
      <c r="C664" s="90"/>
      <c r="D664" s="90"/>
      <c r="E664" s="90"/>
      <c r="F664" s="90"/>
      <c r="G664" s="90"/>
      <c r="H664" s="123"/>
      <c r="I664" s="123"/>
      <c r="J664" s="123"/>
      <c r="K664" s="123"/>
      <c r="L664" s="123"/>
      <c r="M664" s="123"/>
      <c r="N664" s="123"/>
      <c r="O664" s="123"/>
      <c r="P664" s="123"/>
      <c r="Q664" s="123"/>
      <c r="U664" s="124"/>
      <c r="W664" s="125"/>
      <c r="AJ664" s="126"/>
      <c r="AK664" s="126"/>
      <c r="AL664" s="122"/>
    </row>
    <row r="665">
      <c r="C665" s="90"/>
      <c r="D665" s="90"/>
      <c r="E665" s="90"/>
      <c r="F665" s="90"/>
      <c r="G665" s="90"/>
      <c r="H665" s="123"/>
      <c r="I665" s="123"/>
      <c r="J665" s="123"/>
      <c r="K665" s="123"/>
      <c r="L665" s="123"/>
      <c r="M665" s="123"/>
      <c r="N665" s="123"/>
      <c r="O665" s="123"/>
      <c r="P665" s="123"/>
      <c r="Q665" s="123"/>
      <c r="U665" s="124"/>
      <c r="W665" s="125"/>
      <c r="AJ665" s="126"/>
      <c r="AK665" s="126"/>
      <c r="AL665" s="122"/>
    </row>
    <row r="666">
      <c r="C666" s="90"/>
      <c r="D666" s="90"/>
      <c r="E666" s="90"/>
      <c r="F666" s="90"/>
      <c r="G666" s="90"/>
      <c r="H666" s="123"/>
      <c r="I666" s="123"/>
      <c r="J666" s="123"/>
      <c r="K666" s="123"/>
      <c r="L666" s="123"/>
      <c r="M666" s="123"/>
      <c r="N666" s="123"/>
      <c r="O666" s="123"/>
      <c r="P666" s="123"/>
      <c r="Q666" s="123"/>
      <c r="U666" s="124"/>
      <c r="W666" s="125"/>
      <c r="AJ666" s="126"/>
      <c r="AK666" s="126"/>
      <c r="AL666" s="122"/>
    </row>
    <row r="667">
      <c r="C667" s="90"/>
      <c r="D667" s="90"/>
      <c r="E667" s="90"/>
      <c r="F667" s="90"/>
      <c r="G667" s="90"/>
      <c r="H667" s="123"/>
      <c r="I667" s="123"/>
      <c r="J667" s="123"/>
      <c r="K667" s="123"/>
      <c r="L667" s="123"/>
      <c r="M667" s="123"/>
      <c r="N667" s="123"/>
      <c r="O667" s="123"/>
      <c r="P667" s="123"/>
      <c r="Q667" s="123"/>
      <c r="U667" s="124"/>
      <c r="W667" s="125"/>
      <c r="AJ667" s="126"/>
      <c r="AK667" s="126"/>
      <c r="AL667" s="122"/>
    </row>
    <row r="668">
      <c r="C668" s="90"/>
      <c r="D668" s="90"/>
      <c r="E668" s="90"/>
      <c r="F668" s="90"/>
      <c r="G668" s="90"/>
      <c r="H668" s="123"/>
      <c r="I668" s="123"/>
      <c r="J668" s="123"/>
      <c r="K668" s="123"/>
      <c r="L668" s="123"/>
      <c r="M668" s="123"/>
      <c r="N668" s="123"/>
      <c r="O668" s="123"/>
      <c r="P668" s="123"/>
      <c r="Q668" s="123"/>
      <c r="U668" s="124"/>
      <c r="W668" s="125"/>
      <c r="AJ668" s="126"/>
      <c r="AK668" s="126"/>
      <c r="AL668" s="122"/>
    </row>
    <row r="669">
      <c r="C669" s="90"/>
      <c r="D669" s="90"/>
      <c r="E669" s="90"/>
      <c r="F669" s="90"/>
      <c r="G669" s="90"/>
      <c r="H669" s="123"/>
      <c r="I669" s="123"/>
      <c r="J669" s="123"/>
      <c r="K669" s="123"/>
      <c r="L669" s="123"/>
      <c r="M669" s="123"/>
      <c r="N669" s="123"/>
      <c r="O669" s="123"/>
      <c r="P669" s="123"/>
      <c r="Q669" s="123"/>
      <c r="U669" s="124"/>
      <c r="W669" s="125"/>
      <c r="AJ669" s="126"/>
      <c r="AK669" s="126"/>
      <c r="AL669" s="122"/>
    </row>
    <row r="670">
      <c r="C670" s="90"/>
      <c r="D670" s="90"/>
      <c r="E670" s="90"/>
      <c r="F670" s="90"/>
      <c r="G670" s="90"/>
      <c r="H670" s="123"/>
      <c r="I670" s="123"/>
      <c r="J670" s="123"/>
      <c r="K670" s="123"/>
      <c r="L670" s="123"/>
      <c r="M670" s="123"/>
      <c r="N670" s="123"/>
      <c r="O670" s="123"/>
      <c r="P670" s="123"/>
      <c r="Q670" s="123"/>
      <c r="U670" s="124"/>
      <c r="W670" s="125"/>
      <c r="AJ670" s="126"/>
      <c r="AK670" s="126"/>
      <c r="AL670" s="122"/>
    </row>
    <row r="671">
      <c r="C671" s="90"/>
      <c r="D671" s="90"/>
      <c r="E671" s="90"/>
      <c r="F671" s="90"/>
      <c r="G671" s="90"/>
      <c r="H671" s="123"/>
      <c r="I671" s="123"/>
      <c r="J671" s="123"/>
      <c r="K671" s="123"/>
      <c r="L671" s="123"/>
      <c r="M671" s="123"/>
      <c r="N671" s="123"/>
      <c r="O671" s="123"/>
      <c r="P671" s="123"/>
      <c r="Q671" s="123"/>
      <c r="U671" s="124"/>
      <c r="W671" s="125"/>
      <c r="AJ671" s="126"/>
      <c r="AK671" s="126"/>
      <c r="AL671" s="122"/>
    </row>
    <row r="672">
      <c r="C672" s="90"/>
      <c r="D672" s="90"/>
      <c r="E672" s="90"/>
      <c r="F672" s="90"/>
      <c r="G672" s="90"/>
      <c r="H672" s="123"/>
      <c r="I672" s="123"/>
      <c r="J672" s="123"/>
      <c r="K672" s="123"/>
      <c r="L672" s="123"/>
      <c r="M672" s="123"/>
      <c r="N672" s="123"/>
      <c r="O672" s="123"/>
      <c r="P672" s="123"/>
      <c r="Q672" s="123"/>
      <c r="U672" s="124"/>
      <c r="W672" s="125"/>
      <c r="AJ672" s="126"/>
      <c r="AK672" s="126"/>
      <c r="AL672" s="122"/>
    </row>
    <row r="673">
      <c r="C673" s="90"/>
      <c r="D673" s="90"/>
      <c r="E673" s="90"/>
      <c r="F673" s="90"/>
      <c r="G673" s="90"/>
      <c r="H673" s="123"/>
      <c r="I673" s="123"/>
      <c r="J673" s="123"/>
      <c r="K673" s="123"/>
      <c r="L673" s="123"/>
      <c r="M673" s="123"/>
      <c r="N673" s="123"/>
      <c r="O673" s="123"/>
      <c r="P673" s="123"/>
      <c r="Q673" s="123"/>
      <c r="U673" s="124"/>
      <c r="W673" s="125"/>
      <c r="AJ673" s="126"/>
      <c r="AK673" s="126"/>
      <c r="AL673" s="122"/>
    </row>
    <row r="674">
      <c r="C674" s="90"/>
      <c r="D674" s="90"/>
      <c r="E674" s="90"/>
      <c r="F674" s="90"/>
      <c r="G674" s="90"/>
      <c r="H674" s="123"/>
      <c r="I674" s="123"/>
      <c r="J674" s="123"/>
      <c r="K674" s="123"/>
      <c r="L674" s="123"/>
      <c r="M674" s="123"/>
      <c r="N674" s="123"/>
      <c r="O674" s="123"/>
      <c r="P674" s="123"/>
      <c r="Q674" s="123"/>
      <c r="U674" s="124"/>
      <c r="W674" s="125"/>
      <c r="AJ674" s="126"/>
      <c r="AK674" s="126"/>
      <c r="AL674" s="122"/>
    </row>
    <row r="675">
      <c r="C675" s="90"/>
      <c r="D675" s="90"/>
      <c r="E675" s="90"/>
      <c r="F675" s="90"/>
      <c r="G675" s="90"/>
      <c r="H675" s="123"/>
      <c r="I675" s="123"/>
      <c r="J675" s="123"/>
      <c r="K675" s="123"/>
      <c r="L675" s="123"/>
      <c r="M675" s="123"/>
      <c r="N675" s="123"/>
      <c r="O675" s="123"/>
      <c r="P675" s="123"/>
      <c r="Q675" s="123"/>
      <c r="U675" s="124"/>
      <c r="W675" s="125"/>
      <c r="AJ675" s="126"/>
      <c r="AK675" s="126"/>
      <c r="AL675" s="122"/>
    </row>
    <row r="676">
      <c r="C676" s="90"/>
      <c r="D676" s="90"/>
      <c r="E676" s="90"/>
      <c r="F676" s="90"/>
      <c r="G676" s="90"/>
      <c r="H676" s="123"/>
      <c r="I676" s="123"/>
      <c r="J676" s="123"/>
      <c r="K676" s="123"/>
      <c r="L676" s="123"/>
      <c r="M676" s="123"/>
      <c r="N676" s="123"/>
      <c r="O676" s="123"/>
      <c r="P676" s="123"/>
      <c r="Q676" s="123"/>
      <c r="U676" s="124"/>
      <c r="W676" s="125"/>
      <c r="AJ676" s="126"/>
      <c r="AK676" s="126"/>
      <c r="AL676" s="122"/>
    </row>
    <row r="677">
      <c r="C677" s="90"/>
      <c r="D677" s="90"/>
      <c r="E677" s="90"/>
      <c r="F677" s="90"/>
      <c r="G677" s="90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U677" s="124"/>
      <c r="W677" s="125"/>
      <c r="AJ677" s="126"/>
      <c r="AK677" s="126"/>
      <c r="AL677" s="122"/>
    </row>
    <row r="678">
      <c r="C678" s="90"/>
      <c r="D678" s="90"/>
      <c r="E678" s="90"/>
      <c r="F678" s="90"/>
      <c r="G678" s="90"/>
      <c r="H678" s="123"/>
      <c r="I678" s="123"/>
      <c r="J678" s="123"/>
      <c r="K678" s="123"/>
      <c r="L678" s="123"/>
      <c r="M678" s="123"/>
      <c r="N678" s="123"/>
      <c r="O678" s="123"/>
      <c r="P678" s="123"/>
      <c r="Q678" s="123"/>
      <c r="U678" s="124"/>
      <c r="W678" s="125"/>
      <c r="AJ678" s="126"/>
      <c r="AK678" s="126"/>
      <c r="AL678" s="122"/>
    </row>
    <row r="679">
      <c r="C679" s="90"/>
      <c r="D679" s="90"/>
      <c r="E679" s="90"/>
      <c r="F679" s="90"/>
      <c r="G679" s="90"/>
      <c r="H679" s="123"/>
      <c r="I679" s="123"/>
      <c r="J679" s="123"/>
      <c r="K679" s="123"/>
      <c r="L679" s="123"/>
      <c r="M679" s="123"/>
      <c r="N679" s="123"/>
      <c r="O679" s="123"/>
      <c r="P679" s="123"/>
      <c r="Q679" s="123"/>
      <c r="U679" s="124"/>
      <c r="W679" s="125"/>
      <c r="AJ679" s="126"/>
      <c r="AK679" s="126"/>
      <c r="AL679" s="122"/>
    </row>
    <row r="680">
      <c r="C680" s="90"/>
      <c r="D680" s="90"/>
      <c r="E680" s="90"/>
      <c r="F680" s="90"/>
      <c r="G680" s="90"/>
      <c r="H680" s="123"/>
      <c r="I680" s="123"/>
      <c r="J680" s="123"/>
      <c r="K680" s="123"/>
      <c r="L680" s="123"/>
      <c r="M680" s="123"/>
      <c r="N680" s="123"/>
      <c r="O680" s="123"/>
      <c r="P680" s="123"/>
      <c r="Q680" s="123"/>
      <c r="U680" s="124"/>
      <c r="W680" s="125"/>
      <c r="AJ680" s="126"/>
      <c r="AK680" s="126"/>
      <c r="AL680" s="122"/>
    </row>
    <row r="681">
      <c r="C681" s="90"/>
      <c r="D681" s="90"/>
      <c r="E681" s="90"/>
      <c r="F681" s="90"/>
      <c r="G681" s="90"/>
      <c r="H681" s="123"/>
      <c r="I681" s="123"/>
      <c r="J681" s="123"/>
      <c r="K681" s="123"/>
      <c r="L681" s="123"/>
      <c r="M681" s="123"/>
      <c r="N681" s="123"/>
      <c r="O681" s="123"/>
      <c r="P681" s="123"/>
      <c r="Q681" s="123"/>
      <c r="U681" s="124"/>
      <c r="W681" s="125"/>
      <c r="AJ681" s="126"/>
      <c r="AK681" s="126"/>
      <c r="AL681" s="122"/>
    </row>
    <row r="682">
      <c r="C682" s="90"/>
      <c r="D682" s="90"/>
      <c r="E682" s="90"/>
      <c r="F682" s="90"/>
      <c r="G682" s="90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U682" s="124"/>
      <c r="W682" s="125"/>
      <c r="AJ682" s="126"/>
      <c r="AK682" s="126"/>
      <c r="AL682" s="122"/>
    </row>
    <row r="683">
      <c r="C683" s="90"/>
      <c r="D683" s="90"/>
      <c r="E683" s="90"/>
      <c r="F683" s="90"/>
      <c r="G683" s="90"/>
      <c r="H683" s="123"/>
      <c r="I683" s="123"/>
      <c r="J683" s="123"/>
      <c r="K683" s="123"/>
      <c r="L683" s="123"/>
      <c r="M683" s="123"/>
      <c r="N683" s="123"/>
      <c r="O683" s="123"/>
      <c r="P683" s="123"/>
      <c r="Q683" s="123"/>
      <c r="U683" s="124"/>
      <c r="W683" s="125"/>
      <c r="AJ683" s="126"/>
      <c r="AK683" s="126"/>
      <c r="AL683" s="122"/>
    </row>
    <row r="684">
      <c r="C684" s="90"/>
      <c r="D684" s="90"/>
      <c r="E684" s="90"/>
      <c r="F684" s="90"/>
      <c r="G684" s="90"/>
      <c r="H684" s="123"/>
      <c r="I684" s="123"/>
      <c r="J684" s="123"/>
      <c r="K684" s="123"/>
      <c r="L684" s="123"/>
      <c r="M684" s="123"/>
      <c r="N684" s="123"/>
      <c r="O684" s="123"/>
      <c r="P684" s="123"/>
      <c r="Q684" s="123"/>
      <c r="U684" s="124"/>
      <c r="W684" s="125"/>
      <c r="AJ684" s="126"/>
      <c r="AK684" s="126"/>
      <c r="AL684" s="122"/>
    </row>
    <row r="685">
      <c r="C685" s="90"/>
      <c r="D685" s="90"/>
      <c r="E685" s="90"/>
      <c r="F685" s="90"/>
      <c r="G685" s="90"/>
      <c r="H685" s="123"/>
      <c r="I685" s="123"/>
      <c r="J685" s="123"/>
      <c r="K685" s="123"/>
      <c r="L685" s="123"/>
      <c r="M685" s="123"/>
      <c r="N685" s="123"/>
      <c r="O685" s="123"/>
      <c r="P685" s="123"/>
      <c r="Q685" s="123"/>
      <c r="U685" s="124"/>
      <c r="W685" s="125"/>
      <c r="AJ685" s="126"/>
      <c r="AK685" s="126"/>
      <c r="AL685" s="122"/>
    </row>
    <row r="686">
      <c r="C686" s="90"/>
      <c r="D686" s="90"/>
      <c r="E686" s="90"/>
      <c r="F686" s="90"/>
      <c r="G686" s="90"/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U686" s="124"/>
      <c r="W686" s="125"/>
      <c r="AJ686" s="126"/>
      <c r="AK686" s="126"/>
      <c r="AL686" s="122"/>
    </row>
    <row r="687">
      <c r="C687" s="90"/>
      <c r="D687" s="90"/>
      <c r="E687" s="90"/>
      <c r="F687" s="90"/>
      <c r="G687" s="90"/>
      <c r="H687" s="123"/>
      <c r="I687" s="123"/>
      <c r="J687" s="123"/>
      <c r="K687" s="123"/>
      <c r="L687" s="123"/>
      <c r="M687" s="123"/>
      <c r="N687" s="123"/>
      <c r="O687" s="123"/>
      <c r="P687" s="123"/>
      <c r="Q687" s="123"/>
      <c r="U687" s="124"/>
      <c r="W687" s="125"/>
      <c r="AJ687" s="126"/>
      <c r="AK687" s="126"/>
      <c r="AL687" s="122"/>
    </row>
    <row r="688">
      <c r="C688" s="90"/>
      <c r="D688" s="90"/>
      <c r="E688" s="90"/>
      <c r="F688" s="90"/>
      <c r="G688" s="90"/>
      <c r="H688" s="123"/>
      <c r="I688" s="123"/>
      <c r="J688" s="123"/>
      <c r="K688" s="123"/>
      <c r="L688" s="123"/>
      <c r="M688" s="123"/>
      <c r="N688" s="123"/>
      <c r="O688" s="123"/>
      <c r="P688" s="123"/>
      <c r="Q688" s="123"/>
      <c r="U688" s="124"/>
      <c r="W688" s="125"/>
      <c r="AJ688" s="126"/>
      <c r="AK688" s="126"/>
      <c r="AL688" s="122"/>
    </row>
    <row r="689">
      <c r="C689" s="90"/>
      <c r="D689" s="90"/>
      <c r="E689" s="90"/>
      <c r="F689" s="90"/>
      <c r="G689" s="90"/>
      <c r="H689" s="123"/>
      <c r="I689" s="123"/>
      <c r="J689" s="123"/>
      <c r="K689" s="123"/>
      <c r="L689" s="123"/>
      <c r="M689" s="123"/>
      <c r="N689" s="123"/>
      <c r="O689" s="123"/>
      <c r="P689" s="123"/>
      <c r="Q689" s="123"/>
      <c r="U689" s="124"/>
      <c r="W689" s="125"/>
      <c r="AJ689" s="126"/>
      <c r="AK689" s="126"/>
      <c r="AL689" s="122"/>
    </row>
    <row r="690">
      <c r="C690" s="90"/>
      <c r="D690" s="90"/>
      <c r="E690" s="90"/>
      <c r="F690" s="90"/>
      <c r="G690" s="90"/>
      <c r="H690" s="123"/>
      <c r="I690" s="123"/>
      <c r="J690" s="123"/>
      <c r="K690" s="123"/>
      <c r="L690" s="123"/>
      <c r="M690" s="123"/>
      <c r="N690" s="123"/>
      <c r="O690" s="123"/>
      <c r="P690" s="123"/>
      <c r="Q690" s="123"/>
      <c r="U690" s="124"/>
      <c r="W690" s="125"/>
      <c r="AJ690" s="126"/>
      <c r="AK690" s="126"/>
      <c r="AL690" s="122"/>
    </row>
    <row r="691">
      <c r="C691" s="90"/>
      <c r="D691" s="90"/>
      <c r="E691" s="90"/>
      <c r="F691" s="90"/>
      <c r="G691" s="90"/>
      <c r="H691" s="123"/>
      <c r="I691" s="123"/>
      <c r="J691" s="123"/>
      <c r="K691" s="123"/>
      <c r="L691" s="123"/>
      <c r="M691" s="123"/>
      <c r="N691" s="123"/>
      <c r="O691" s="123"/>
      <c r="P691" s="123"/>
      <c r="Q691" s="123"/>
      <c r="U691" s="124"/>
      <c r="W691" s="125"/>
      <c r="AJ691" s="126"/>
      <c r="AK691" s="126"/>
      <c r="AL691" s="122"/>
    </row>
    <row r="692">
      <c r="C692" s="90"/>
      <c r="D692" s="90"/>
      <c r="E692" s="90"/>
      <c r="F692" s="90"/>
      <c r="G692" s="90"/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U692" s="124"/>
      <c r="W692" s="125"/>
      <c r="AJ692" s="126"/>
      <c r="AK692" s="126"/>
      <c r="AL692" s="122"/>
    </row>
    <row r="693">
      <c r="C693" s="90"/>
      <c r="D693" s="90"/>
      <c r="E693" s="90"/>
      <c r="F693" s="90"/>
      <c r="G693" s="90"/>
      <c r="H693" s="123"/>
      <c r="I693" s="123"/>
      <c r="J693" s="123"/>
      <c r="K693" s="123"/>
      <c r="L693" s="123"/>
      <c r="M693" s="123"/>
      <c r="N693" s="123"/>
      <c r="O693" s="123"/>
      <c r="P693" s="123"/>
      <c r="Q693" s="123"/>
      <c r="U693" s="124"/>
      <c r="W693" s="125"/>
      <c r="AJ693" s="126"/>
      <c r="AK693" s="126"/>
      <c r="AL693" s="122"/>
    </row>
    <row r="694">
      <c r="C694" s="90"/>
      <c r="D694" s="90"/>
      <c r="E694" s="90"/>
      <c r="F694" s="90"/>
      <c r="G694" s="90"/>
      <c r="H694" s="123"/>
      <c r="I694" s="123"/>
      <c r="J694" s="123"/>
      <c r="K694" s="123"/>
      <c r="L694" s="123"/>
      <c r="M694" s="123"/>
      <c r="N694" s="123"/>
      <c r="O694" s="123"/>
      <c r="P694" s="123"/>
      <c r="Q694" s="123"/>
      <c r="U694" s="124"/>
      <c r="W694" s="125"/>
      <c r="AJ694" s="126"/>
      <c r="AK694" s="126"/>
      <c r="AL694" s="122"/>
    </row>
    <row r="695">
      <c r="C695" s="90"/>
      <c r="D695" s="90"/>
      <c r="E695" s="90"/>
      <c r="F695" s="90"/>
      <c r="G695" s="90"/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U695" s="124"/>
      <c r="W695" s="125"/>
      <c r="AJ695" s="126"/>
      <c r="AK695" s="126"/>
      <c r="AL695" s="122"/>
    </row>
    <row r="696">
      <c r="C696" s="90"/>
      <c r="D696" s="90"/>
      <c r="E696" s="90"/>
      <c r="F696" s="90"/>
      <c r="G696" s="90"/>
      <c r="H696" s="123"/>
      <c r="I696" s="123"/>
      <c r="J696" s="123"/>
      <c r="K696" s="123"/>
      <c r="L696" s="123"/>
      <c r="M696" s="123"/>
      <c r="N696" s="123"/>
      <c r="O696" s="123"/>
      <c r="P696" s="123"/>
      <c r="Q696" s="123"/>
      <c r="U696" s="124"/>
      <c r="W696" s="125"/>
      <c r="AJ696" s="126"/>
      <c r="AK696" s="126"/>
      <c r="AL696" s="122"/>
    </row>
    <row r="697">
      <c r="C697" s="90"/>
      <c r="D697" s="90"/>
      <c r="E697" s="90"/>
      <c r="F697" s="90"/>
      <c r="G697" s="90"/>
      <c r="H697" s="123"/>
      <c r="I697" s="123"/>
      <c r="J697" s="123"/>
      <c r="K697" s="123"/>
      <c r="L697" s="123"/>
      <c r="M697" s="123"/>
      <c r="N697" s="123"/>
      <c r="O697" s="123"/>
      <c r="P697" s="123"/>
      <c r="Q697" s="123"/>
      <c r="U697" s="124"/>
      <c r="W697" s="125"/>
      <c r="AJ697" s="126"/>
      <c r="AK697" s="126"/>
      <c r="AL697" s="122"/>
    </row>
    <row r="698">
      <c r="C698" s="90"/>
      <c r="D698" s="90"/>
      <c r="E698" s="90"/>
      <c r="F698" s="90"/>
      <c r="G698" s="90"/>
      <c r="H698" s="123"/>
      <c r="I698" s="123"/>
      <c r="J698" s="123"/>
      <c r="K698" s="123"/>
      <c r="L698" s="123"/>
      <c r="M698" s="123"/>
      <c r="N698" s="123"/>
      <c r="O698" s="123"/>
      <c r="P698" s="123"/>
      <c r="Q698" s="123"/>
      <c r="U698" s="124"/>
      <c r="W698" s="125"/>
      <c r="AJ698" s="126"/>
      <c r="AK698" s="126"/>
      <c r="AL698" s="122"/>
    </row>
    <row r="699">
      <c r="C699" s="90"/>
      <c r="D699" s="90"/>
      <c r="E699" s="90"/>
      <c r="F699" s="90"/>
      <c r="G699" s="90"/>
      <c r="H699" s="123"/>
      <c r="I699" s="123"/>
      <c r="J699" s="123"/>
      <c r="K699" s="123"/>
      <c r="L699" s="123"/>
      <c r="M699" s="123"/>
      <c r="N699" s="123"/>
      <c r="O699" s="123"/>
      <c r="P699" s="123"/>
      <c r="Q699" s="123"/>
      <c r="U699" s="124"/>
      <c r="W699" s="125"/>
      <c r="AJ699" s="126"/>
      <c r="AK699" s="126"/>
      <c r="AL699" s="122"/>
    </row>
    <row r="700">
      <c r="C700" s="90"/>
      <c r="D700" s="90"/>
      <c r="E700" s="90"/>
      <c r="F700" s="90"/>
      <c r="G700" s="90"/>
      <c r="H700" s="123"/>
      <c r="I700" s="123"/>
      <c r="J700" s="123"/>
      <c r="K700" s="123"/>
      <c r="L700" s="123"/>
      <c r="M700" s="123"/>
      <c r="N700" s="123"/>
      <c r="O700" s="123"/>
      <c r="P700" s="123"/>
      <c r="Q700" s="123"/>
      <c r="U700" s="124"/>
      <c r="W700" s="125"/>
      <c r="AJ700" s="126"/>
      <c r="AK700" s="126"/>
      <c r="AL700" s="122"/>
    </row>
    <row r="701">
      <c r="C701" s="90"/>
      <c r="D701" s="90"/>
      <c r="E701" s="90"/>
      <c r="F701" s="90"/>
      <c r="G701" s="90"/>
      <c r="H701" s="123"/>
      <c r="I701" s="123"/>
      <c r="J701" s="123"/>
      <c r="K701" s="123"/>
      <c r="L701" s="123"/>
      <c r="M701" s="123"/>
      <c r="N701" s="123"/>
      <c r="O701" s="123"/>
      <c r="P701" s="123"/>
      <c r="Q701" s="123"/>
      <c r="U701" s="124"/>
      <c r="W701" s="125"/>
      <c r="AJ701" s="126"/>
      <c r="AK701" s="126"/>
      <c r="AL701" s="122"/>
    </row>
    <row r="702">
      <c r="C702" s="90"/>
      <c r="D702" s="90"/>
      <c r="E702" s="90"/>
      <c r="F702" s="90"/>
      <c r="G702" s="90"/>
      <c r="H702" s="123"/>
      <c r="I702" s="123"/>
      <c r="J702" s="123"/>
      <c r="K702" s="123"/>
      <c r="L702" s="123"/>
      <c r="M702" s="123"/>
      <c r="N702" s="123"/>
      <c r="O702" s="123"/>
      <c r="P702" s="123"/>
      <c r="Q702" s="123"/>
      <c r="U702" s="124"/>
      <c r="W702" s="125"/>
      <c r="AJ702" s="126"/>
      <c r="AK702" s="126"/>
      <c r="AL702" s="122"/>
    </row>
    <row r="703">
      <c r="C703" s="90"/>
      <c r="D703" s="90"/>
      <c r="E703" s="90"/>
      <c r="F703" s="90"/>
      <c r="G703" s="90"/>
      <c r="H703" s="123"/>
      <c r="I703" s="123"/>
      <c r="J703" s="123"/>
      <c r="K703" s="123"/>
      <c r="L703" s="123"/>
      <c r="M703" s="123"/>
      <c r="N703" s="123"/>
      <c r="O703" s="123"/>
      <c r="P703" s="123"/>
      <c r="Q703" s="123"/>
      <c r="U703" s="124"/>
      <c r="W703" s="125"/>
      <c r="AJ703" s="126"/>
      <c r="AK703" s="126"/>
      <c r="AL703" s="122"/>
    </row>
    <row r="704">
      <c r="C704" s="90"/>
      <c r="D704" s="90"/>
      <c r="E704" s="90"/>
      <c r="F704" s="90"/>
      <c r="G704" s="90"/>
      <c r="H704" s="123"/>
      <c r="I704" s="123"/>
      <c r="J704" s="123"/>
      <c r="K704" s="123"/>
      <c r="L704" s="123"/>
      <c r="M704" s="123"/>
      <c r="N704" s="123"/>
      <c r="O704" s="123"/>
      <c r="P704" s="123"/>
      <c r="Q704" s="123"/>
      <c r="U704" s="124"/>
      <c r="W704" s="125"/>
      <c r="AJ704" s="126"/>
      <c r="AK704" s="126"/>
      <c r="AL704" s="122"/>
    </row>
    <row r="705">
      <c r="C705" s="90"/>
      <c r="D705" s="90"/>
      <c r="E705" s="90"/>
      <c r="F705" s="90"/>
      <c r="G705" s="90"/>
      <c r="H705" s="123"/>
      <c r="I705" s="123"/>
      <c r="J705" s="123"/>
      <c r="K705" s="123"/>
      <c r="L705" s="123"/>
      <c r="M705" s="123"/>
      <c r="N705" s="123"/>
      <c r="O705" s="123"/>
      <c r="P705" s="123"/>
      <c r="Q705" s="123"/>
      <c r="U705" s="124"/>
      <c r="W705" s="125"/>
      <c r="AJ705" s="126"/>
      <c r="AK705" s="126"/>
      <c r="AL705" s="122"/>
    </row>
    <row r="706">
      <c r="C706" s="90"/>
      <c r="D706" s="90"/>
      <c r="E706" s="90"/>
      <c r="F706" s="90"/>
      <c r="G706" s="90"/>
      <c r="H706" s="123"/>
      <c r="I706" s="123"/>
      <c r="J706" s="123"/>
      <c r="K706" s="123"/>
      <c r="L706" s="123"/>
      <c r="M706" s="123"/>
      <c r="N706" s="123"/>
      <c r="O706" s="123"/>
      <c r="P706" s="123"/>
      <c r="Q706" s="123"/>
      <c r="U706" s="124"/>
      <c r="W706" s="125"/>
      <c r="AJ706" s="126"/>
      <c r="AK706" s="126"/>
      <c r="AL706" s="122"/>
    </row>
    <row r="707">
      <c r="C707" s="90"/>
      <c r="D707" s="90"/>
      <c r="E707" s="90"/>
      <c r="F707" s="90"/>
      <c r="G707" s="90"/>
      <c r="H707" s="123"/>
      <c r="I707" s="123"/>
      <c r="J707" s="123"/>
      <c r="K707" s="123"/>
      <c r="L707" s="123"/>
      <c r="M707" s="123"/>
      <c r="N707" s="123"/>
      <c r="O707" s="123"/>
      <c r="P707" s="123"/>
      <c r="Q707" s="123"/>
      <c r="U707" s="124"/>
      <c r="W707" s="125"/>
      <c r="AJ707" s="126"/>
      <c r="AK707" s="126"/>
      <c r="AL707" s="122"/>
    </row>
    <row r="708">
      <c r="C708" s="90"/>
      <c r="D708" s="90"/>
      <c r="E708" s="90"/>
      <c r="F708" s="90"/>
      <c r="G708" s="90"/>
      <c r="H708" s="123"/>
      <c r="I708" s="123"/>
      <c r="J708" s="123"/>
      <c r="K708" s="123"/>
      <c r="L708" s="123"/>
      <c r="M708" s="123"/>
      <c r="N708" s="123"/>
      <c r="O708" s="123"/>
      <c r="P708" s="123"/>
      <c r="Q708" s="123"/>
      <c r="U708" s="124"/>
      <c r="W708" s="125"/>
      <c r="AJ708" s="126"/>
      <c r="AK708" s="126"/>
      <c r="AL708" s="122"/>
    </row>
    <row r="709">
      <c r="C709" s="90"/>
      <c r="D709" s="90"/>
      <c r="E709" s="90"/>
      <c r="F709" s="90"/>
      <c r="G709" s="90"/>
      <c r="H709" s="123"/>
      <c r="I709" s="123"/>
      <c r="J709" s="123"/>
      <c r="K709" s="123"/>
      <c r="L709" s="123"/>
      <c r="M709" s="123"/>
      <c r="N709" s="123"/>
      <c r="O709" s="123"/>
      <c r="P709" s="123"/>
      <c r="Q709" s="123"/>
      <c r="U709" s="124"/>
      <c r="W709" s="125"/>
      <c r="AJ709" s="126"/>
      <c r="AK709" s="126"/>
      <c r="AL709" s="122"/>
    </row>
    <row r="710">
      <c r="C710" s="90"/>
      <c r="D710" s="90"/>
      <c r="E710" s="90"/>
      <c r="F710" s="90"/>
      <c r="G710" s="90"/>
      <c r="H710" s="123"/>
      <c r="I710" s="123"/>
      <c r="J710" s="123"/>
      <c r="K710" s="123"/>
      <c r="L710" s="123"/>
      <c r="M710" s="123"/>
      <c r="N710" s="123"/>
      <c r="O710" s="123"/>
      <c r="P710" s="123"/>
      <c r="Q710" s="123"/>
      <c r="U710" s="124"/>
      <c r="W710" s="125"/>
      <c r="AJ710" s="126"/>
      <c r="AK710" s="126"/>
      <c r="AL710" s="122"/>
    </row>
    <row r="711">
      <c r="C711" s="90"/>
      <c r="D711" s="90"/>
      <c r="E711" s="90"/>
      <c r="F711" s="90"/>
      <c r="G711" s="90"/>
      <c r="H711" s="123"/>
      <c r="I711" s="123"/>
      <c r="J711" s="123"/>
      <c r="K711" s="123"/>
      <c r="L711" s="123"/>
      <c r="M711" s="123"/>
      <c r="N711" s="123"/>
      <c r="O711" s="123"/>
      <c r="P711" s="123"/>
      <c r="Q711" s="123"/>
      <c r="U711" s="124"/>
      <c r="W711" s="125"/>
      <c r="AJ711" s="126"/>
      <c r="AK711" s="126"/>
      <c r="AL711" s="122"/>
    </row>
    <row r="712">
      <c r="C712" s="90"/>
      <c r="D712" s="90"/>
      <c r="E712" s="90"/>
      <c r="F712" s="90"/>
      <c r="G712" s="90"/>
      <c r="H712" s="123"/>
      <c r="I712" s="123"/>
      <c r="J712" s="123"/>
      <c r="K712" s="123"/>
      <c r="L712" s="123"/>
      <c r="M712" s="123"/>
      <c r="N712" s="123"/>
      <c r="O712" s="123"/>
      <c r="P712" s="123"/>
      <c r="Q712" s="123"/>
      <c r="U712" s="124"/>
      <c r="W712" s="125"/>
      <c r="AJ712" s="126"/>
      <c r="AK712" s="126"/>
      <c r="AL712" s="122"/>
    </row>
    <row r="713">
      <c r="C713" s="90"/>
      <c r="D713" s="90"/>
      <c r="E713" s="90"/>
      <c r="F713" s="90"/>
      <c r="G713" s="90"/>
      <c r="H713" s="123"/>
      <c r="I713" s="123"/>
      <c r="J713" s="123"/>
      <c r="K713" s="123"/>
      <c r="L713" s="123"/>
      <c r="M713" s="123"/>
      <c r="N713" s="123"/>
      <c r="O713" s="123"/>
      <c r="P713" s="123"/>
      <c r="Q713" s="123"/>
      <c r="U713" s="124"/>
      <c r="W713" s="125"/>
      <c r="AJ713" s="126"/>
      <c r="AK713" s="126"/>
      <c r="AL713" s="122"/>
    </row>
    <row r="714">
      <c r="C714" s="90"/>
      <c r="D714" s="90"/>
      <c r="E714" s="90"/>
      <c r="F714" s="90"/>
      <c r="G714" s="90"/>
      <c r="H714" s="123"/>
      <c r="I714" s="123"/>
      <c r="J714" s="123"/>
      <c r="K714" s="123"/>
      <c r="L714" s="123"/>
      <c r="M714" s="123"/>
      <c r="N714" s="123"/>
      <c r="O714" s="123"/>
      <c r="P714" s="123"/>
      <c r="Q714" s="123"/>
      <c r="U714" s="124"/>
      <c r="W714" s="125"/>
      <c r="AJ714" s="126"/>
      <c r="AK714" s="126"/>
      <c r="AL714" s="122"/>
    </row>
    <row r="715">
      <c r="C715" s="90"/>
      <c r="D715" s="90"/>
      <c r="E715" s="90"/>
      <c r="F715" s="90"/>
      <c r="G715" s="90"/>
      <c r="H715" s="123"/>
      <c r="I715" s="123"/>
      <c r="J715" s="123"/>
      <c r="K715" s="123"/>
      <c r="L715" s="123"/>
      <c r="M715" s="123"/>
      <c r="N715" s="123"/>
      <c r="O715" s="123"/>
      <c r="P715" s="123"/>
      <c r="Q715" s="123"/>
      <c r="U715" s="124"/>
      <c r="W715" s="125"/>
      <c r="AJ715" s="126"/>
      <c r="AK715" s="126"/>
      <c r="AL715" s="122"/>
    </row>
    <row r="716">
      <c r="C716" s="90"/>
      <c r="D716" s="90"/>
      <c r="E716" s="90"/>
      <c r="F716" s="90"/>
      <c r="G716" s="90"/>
      <c r="H716" s="123"/>
      <c r="I716" s="123"/>
      <c r="J716" s="123"/>
      <c r="K716" s="123"/>
      <c r="L716" s="123"/>
      <c r="M716" s="123"/>
      <c r="N716" s="123"/>
      <c r="O716" s="123"/>
      <c r="P716" s="123"/>
      <c r="Q716" s="123"/>
      <c r="U716" s="124"/>
      <c r="W716" s="125"/>
      <c r="AJ716" s="126"/>
      <c r="AK716" s="126"/>
      <c r="AL716" s="122"/>
    </row>
    <row r="717">
      <c r="C717" s="90"/>
      <c r="D717" s="90"/>
      <c r="E717" s="90"/>
      <c r="F717" s="90"/>
      <c r="G717" s="90"/>
      <c r="H717" s="123"/>
      <c r="I717" s="123"/>
      <c r="J717" s="123"/>
      <c r="K717" s="123"/>
      <c r="L717" s="123"/>
      <c r="M717" s="123"/>
      <c r="N717" s="123"/>
      <c r="O717" s="123"/>
      <c r="P717" s="123"/>
      <c r="Q717" s="123"/>
      <c r="U717" s="124"/>
      <c r="W717" s="125"/>
      <c r="AJ717" s="126"/>
      <c r="AK717" s="126"/>
      <c r="AL717" s="122"/>
    </row>
    <row r="718">
      <c r="C718" s="90"/>
      <c r="D718" s="90"/>
      <c r="E718" s="90"/>
      <c r="F718" s="90"/>
      <c r="G718" s="90"/>
      <c r="H718" s="123"/>
      <c r="I718" s="123"/>
      <c r="J718" s="123"/>
      <c r="K718" s="123"/>
      <c r="L718" s="123"/>
      <c r="M718" s="123"/>
      <c r="N718" s="123"/>
      <c r="O718" s="123"/>
      <c r="P718" s="123"/>
      <c r="Q718" s="123"/>
      <c r="U718" s="124"/>
      <c r="W718" s="125"/>
      <c r="AJ718" s="126"/>
      <c r="AK718" s="126"/>
      <c r="AL718" s="122"/>
    </row>
    <row r="719">
      <c r="C719" s="90"/>
      <c r="D719" s="90"/>
      <c r="E719" s="90"/>
      <c r="F719" s="90"/>
      <c r="G719" s="90"/>
      <c r="H719" s="123"/>
      <c r="I719" s="123"/>
      <c r="J719" s="123"/>
      <c r="K719" s="123"/>
      <c r="L719" s="123"/>
      <c r="M719" s="123"/>
      <c r="N719" s="123"/>
      <c r="O719" s="123"/>
      <c r="P719" s="123"/>
      <c r="Q719" s="123"/>
      <c r="U719" s="124"/>
      <c r="W719" s="125"/>
      <c r="AJ719" s="126"/>
      <c r="AK719" s="126"/>
      <c r="AL719" s="122"/>
    </row>
    <row r="720">
      <c r="C720" s="90"/>
      <c r="D720" s="90"/>
      <c r="E720" s="90"/>
      <c r="F720" s="90"/>
      <c r="G720" s="90"/>
      <c r="H720" s="123"/>
      <c r="I720" s="123"/>
      <c r="J720" s="123"/>
      <c r="K720" s="123"/>
      <c r="L720" s="123"/>
      <c r="M720" s="123"/>
      <c r="N720" s="123"/>
      <c r="O720" s="123"/>
      <c r="P720" s="123"/>
      <c r="Q720" s="123"/>
      <c r="U720" s="124"/>
      <c r="W720" s="125"/>
      <c r="AJ720" s="126"/>
      <c r="AK720" s="126"/>
      <c r="AL720" s="122"/>
    </row>
    <row r="721">
      <c r="C721" s="90"/>
      <c r="D721" s="90"/>
      <c r="E721" s="90"/>
      <c r="F721" s="90"/>
      <c r="G721" s="90"/>
      <c r="H721" s="123"/>
      <c r="I721" s="123"/>
      <c r="J721" s="123"/>
      <c r="K721" s="123"/>
      <c r="L721" s="123"/>
      <c r="M721" s="123"/>
      <c r="N721" s="123"/>
      <c r="O721" s="123"/>
      <c r="P721" s="123"/>
      <c r="Q721" s="123"/>
      <c r="U721" s="124"/>
      <c r="W721" s="125"/>
      <c r="AJ721" s="126"/>
      <c r="AK721" s="126"/>
      <c r="AL721" s="122"/>
    </row>
    <row r="722">
      <c r="C722" s="90"/>
      <c r="D722" s="90"/>
      <c r="E722" s="90"/>
      <c r="F722" s="90"/>
      <c r="G722" s="90"/>
      <c r="H722" s="123"/>
      <c r="I722" s="123"/>
      <c r="J722" s="123"/>
      <c r="K722" s="123"/>
      <c r="L722" s="123"/>
      <c r="M722" s="123"/>
      <c r="N722" s="123"/>
      <c r="O722" s="123"/>
      <c r="P722" s="123"/>
      <c r="Q722" s="123"/>
      <c r="U722" s="124"/>
      <c r="W722" s="125"/>
      <c r="AJ722" s="126"/>
      <c r="AK722" s="126"/>
      <c r="AL722" s="122"/>
    </row>
    <row r="723">
      <c r="C723" s="90"/>
      <c r="D723" s="90"/>
      <c r="E723" s="90"/>
      <c r="F723" s="90"/>
      <c r="G723" s="90"/>
      <c r="H723" s="123"/>
      <c r="I723" s="123"/>
      <c r="J723" s="123"/>
      <c r="K723" s="123"/>
      <c r="L723" s="123"/>
      <c r="M723" s="123"/>
      <c r="N723" s="123"/>
      <c r="O723" s="123"/>
      <c r="P723" s="123"/>
      <c r="Q723" s="123"/>
      <c r="U723" s="124"/>
      <c r="W723" s="125"/>
      <c r="AJ723" s="126"/>
      <c r="AK723" s="126"/>
      <c r="AL723" s="122"/>
    </row>
    <row r="724">
      <c r="C724" s="90"/>
      <c r="D724" s="90"/>
      <c r="E724" s="90"/>
      <c r="F724" s="90"/>
      <c r="G724" s="90"/>
      <c r="H724" s="123"/>
      <c r="I724" s="123"/>
      <c r="J724" s="123"/>
      <c r="K724" s="123"/>
      <c r="L724" s="123"/>
      <c r="M724" s="123"/>
      <c r="N724" s="123"/>
      <c r="O724" s="123"/>
      <c r="P724" s="123"/>
      <c r="Q724" s="123"/>
      <c r="U724" s="124"/>
      <c r="W724" s="125"/>
      <c r="AJ724" s="126"/>
      <c r="AK724" s="126"/>
      <c r="AL724" s="122"/>
    </row>
    <row r="725">
      <c r="C725" s="90"/>
      <c r="D725" s="90"/>
      <c r="E725" s="90"/>
      <c r="F725" s="90"/>
      <c r="G725" s="90"/>
      <c r="H725" s="123"/>
      <c r="I725" s="123"/>
      <c r="J725" s="123"/>
      <c r="K725" s="123"/>
      <c r="L725" s="123"/>
      <c r="M725" s="123"/>
      <c r="N725" s="123"/>
      <c r="O725" s="123"/>
      <c r="P725" s="123"/>
      <c r="Q725" s="123"/>
      <c r="U725" s="124"/>
      <c r="W725" s="125"/>
      <c r="AJ725" s="126"/>
      <c r="AK725" s="126"/>
      <c r="AL725" s="122"/>
    </row>
    <row r="726">
      <c r="C726" s="90"/>
      <c r="D726" s="90"/>
      <c r="E726" s="90"/>
      <c r="F726" s="90"/>
      <c r="G726" s="90"/>
      <c r="H726" s="123"/>
      <c r="I726" s="123"/>
      <c r="J726" s="123"/>
      <c r="K726" s="123"/>
      <c r="L726" s="123"/>
      <c r="M726" s="123"/>
      <c r="N726" s="123"/>
      <c r="O726" s="123"/>
      <c r="P726" s="123"/>
      <c r="Q726" s="123"/>
      <c r="U726" s="124"/>
      <c r="W726" s="125"/>
      <c r="AJ726" s="126"/>
      <c r="AK726" s="126"/>
      <c r="AL726" s="122"/>
    </row>
    <row r="727">
      <c r="C727" s="90"/>
      <c r="D727" s="90"/>
      <c r="E727" s="90"/>
      <c r="F727" s="90"/>
      <c r="G727" s="90"/>
      <c r="H727" s="123"/>
      <c r="I727" s="123"/>
      <c r="J727" s="123"/>
      <c r="K727" s="123"/>
      <c r="L727" s="123"/>
      <c r="M727" s="123"/>
      <c r="N727" s="123"/>
      <c r="O727" s="123"/>
      <c r="P727" s="123"/>
      <c r="Q727" s="123"/>
      <c r="U727" s="124"/>
      <c r="W727" s="125"/>
      <c r="AJ727" s="126"/>
      <c r="AK727" s="126"/>
      <c r="AL727" s="122"/>
    </row>
    <row r="728">
      <c r="C728" s="90"/>
      <c r="D728" s="90"/>
      <c r="E728" s="90"/>
      <c r="F728" s="90"/>
      <c r="G728" s="90"/>
      <c r="H728" s="123"/>
      <c r="I728" s="123"/>
      <c r="J728" s="123"/>
      <c r="K728" s="123"/>
      <c r="L728" s="123"/>
      <c r="M728" s="123"/>
      <c r="N728" s="123"/>
      <c r="O728" s="123"/>
      <c r="P728" s="123"/>
      <c r="Q728" s="123"/>
      <c r="U728" s="124"/>
      <c r="W728" s="125"/>
      <c r="AJ728" s="126"/>
      <c r="AK728" s="126"/>
      <c r="AL728" s="122"/>
    </row>
    <row r="729">
      <c r="C729" s="90"/>
      <c r="D729" s="90"/>
      <c r="E729" s="90"/>
      <c r="F729" s="90"/>
      <c r="G729" s="90"/>
      <c r="H729" s="123"/>
      <c r="I729" s="123"/>
      <c r="J729" s="123"/>
      <c r="K729" s="123"/>
      <c r="L729" s="123"/>
      <c r="M729" s="123"/>
      <c r="N729" s="123"/>
      <c r="O729" s="123"/>
      <c r="P729" s="123"/>
      <c r="Q729" s="123"/>
      <c r="U729" s="124"/>
      <c r="W729" s="125"/>
      <c r="AJ729" s="126"/>
      <c r="AK729" s="126"/>
      <c r="AL729" s="122"/>
    </row>
    <row r="730">
      <c r="C730" s="90"/>
      <c r="D730" s="90"/>
      <c r="E730" s="90"/>
      <c r="F730" s="90"/>
      <c r="G730" s="90"/>
      <c r="H730" s="123"/>
      <c r="I730" s="123"/>
      <c r="J730" s="123"/>
      <c r="K730" s="123"/>
      <c r="L730" s="123"/>
      <c r="M730" s="123"/>
      <c r="N730" s="123"/>
      <c r="O730" s="123"/>
      <c r="P730" s="123"/>
      <c r="Q730" s="123"/>
      <c r="U730" s="124"/>
      <c r="W730" s="125"/>
      <c r="AJ730" s="126"/>
      <c r="AK730" s="126"/>
      <c r="AL730" s="122"/>
    </row>
    <row r="731">
      <c r="C731" s="90"/>
      <c r="D731" s="90"/>
      <c r="E731" s="90"/>
      <c r="F731" s="90"/>
      <c r="G731" s="90"/>
      <c r="H731" s="123"/>
      <c r="I731" s="123"/>
      <c r="J731" s="123"/>
      <c r="K731" s="123"/>
      <c r="L731" s="123"/>
      <c r="M731" s="123"/>
      <c r="N731" s="123"/>
      <c r="O731" s="123"/>
      <c r="P731" s="123"/>
      <c r="Q731" s="123"/>
      <c r="U731" s="124"/>
      <c r="W731" s="125"/>
      <c r="AJ731" s="126"/>
      <c r="AK731" s="126"/>
      <c r="AL731" s="122"/>
    </row>
    <row r="732">
      <c r="C732" s="90"/>
      <c r="D732" s="90"/>
      <c r="E732" s="90"/>
      <c r="F732" s="90"/>
      <c r="G732" s="90"/>
      <c r="H732" s="123"/>
      <c r="I732" s="123"/>
      <c r="J732" s="123"/>
      <c r="K732" s="123"/>
      <c r="L732" s="123"/>
      <c r="M732" s="123"/>
      <c r="N732" s="123"/>
      <c r="O732" s="123"/>
      <c r="P732" s="123"/>
      <c r="Q732" s="123"/>
      <c r="U732" s="124"/>
      <c r="W732" s="125"/>
      <c r="AJ732" s="126"/>
      <c r="AK732" s="126"/>
      <c r="AL732" s="122"/>
    </row>
    <row r="733">
      <c r="C733" s="90"/>
      <c r="D733" s="90"/>
      <c r="E733" s="90"/>
      <c r="F733" s="90"/>
      <c r="G733" s="90"/>
      <c r="H733" s="123"/>
      <c r="I733" s="123"/>
      <c r="J733" s="123"/>
      <c r="K733" s="123"/>
      <c r="L733" s="123"/>
      <c r="M733" s="123"/>
      <c r="N733" s="123"/>
      <c r="O733" s="123"/>
      <c r="P733" s="123"/>
      <c r="Q733" s="123"/>
      <c r="U733" s="124"/>
      <c r="W733" s="125"/>
      <c r="AJ733" s="126"/>
      <c r="AK733" s="126"/>
      <c r="AL733" s="122"/>
    </row>
    <row r="734">
      <c r="C734" s="90"/>
      <c r="D734" s="90"/>
      <c r="E734" s="90"/>
      <c r="F734" s="90"/>
      <c r="G734" s="90"/>
      <c r="H734" s="123"/>
      <c r="I734" s="123"/>
      <c r="J734" s="123"/>
      <c r="K734" s="123"/>
      <c r="L734" s="123"/>
      <c r="M734" s="123"/>
      <c r="N734" s="123"/>
      <c r="O734" s="123"/>
      <c r="P734" s="123"/>
      <c r="Q734" s="123"/>
      <c r="U734" s="124"/>
      <c r="W734" s="125"/>
      <c r="AJ734" s="126"/>
      <c r="AK734" s="126"/>
      <c r="AL734" s="122"/>
    </row>
    <row r="735">
      <c r="C735" s="90"/>
      <c r="D735" s="90"/>
      <c r="E735" s="90"/>
      <c r="F735" s="90"/>
      <c r="G735" s="90"/>
      <c r="H735" s="123"/>
      <c r="I735" s="123"/>
      <c r="J735" s="123"/>
      <c r="K735" s="123"/>
      <c r="L735" s="123"/>
      <c r="M735" s="123"/>
      <c r="N735" s="123"/>
      <c r="O735" s="123"/>
      <c r="P735" s="123"/>
      <c r="Q735" s="123"/>
      <c r="U735" s="124"/>
      <c r="W735" s="125"/>
      <c r="AJ735" s="126"/>
      <c r="AK735" s="126"/>
      <c r="AL735" s="122"/>
    </row>
    <row r="736">
      <c r="C736" s="90"/>
      <c r="D736" s="90"/>
      <c r="E736" s="90"/>
      <c r="F736" s="90"/>
      <c r="G736" s="90"/>
      <c r="H736" s="123"/>
      <c r="I736" s="123"/>
      <c r="J736" s="123"/>
      <c r="K736" s="123"/>
      <c r="L736" s="123"/>
      <c r="M736" s="123"/>
      <c r="N736" s="123"/>
      <c r="O736" s="123"/>
      <c r="P736" s="123"/>
      <c r="Q736" s="123"/>
      <c r="U736" s="124"/>
      <c r="W736" s="125"/>
      <c r="AJ736" s="126"/>
      <c r="AK736" s="126"/>
      <c r="AL736" s="122"/>
    </row>
    <row r="737">
      <c r="C737" s="90"/>
      <c r="D737" s="90"/>
      <c r="E737" s="90"/>
      <c r="F737" s="90"/>
      <c r="G737" s="90"/>
      <c r="H737" s="123"/>
      <c r="I737" s="123"/>
      <c r="J737" s="123"/>
      <c r="K737" s="123"/>
      <c r="L737" s="123"/>
      <c r="M737" s="123"/>
      <c r="N737" s="123"/>
      <c r="O737" s="123"/>
      <c r="P737" s="123"/>
      <c r="Q737" s="123"/>
      <c r="U737" s="124"/>
      <c r="W737" s="125"/>
      <c r="AJ737" s="126"/>
      <c r="AK737" s="126"/>
      <c r="AL737" s="122"/>
    </row>
    <row r="738">
      <c r="C738" s="90"/>
      <c r="D738" s="90"/>
      <c r="E738" s="90"/>
      <c r="F738" s="90"/>
      <c r="G738" s="90"/>
      <c r="H738" s="123"/>
      <c r="I738" s="123"/>
      <c r="J738" s="123"/>
      <c r="K738" s="123"/>
      <c r="L738" s="123"/>
      <c r="M738" s="123"/>
      <c r="N738" s="123"/>
      <c r="O738" s="123"/>
      <c r="P738" s="123"/>
      <c r="Q738" s="123"/>
      <c r="U738" s="124"/>
      <c r="W738" s="125"/>
      <c r="AJ738" s="126"/>
      <c r="AK738" s="126"/>
      <c r="AL738" s="122"/>
    </row>
    <row r="739">
      <c r="C739" s="90"/>
      <c r="D739" s="90"/>
      <c r="E739" s="90"/>
      <c r="F739" s="90"/>
      <c r="G739" s="90"/>
      <c r="H739" s="123"/>
      <c r="I739" s="123"/>
      <c r="J739" s="123"/>
      <c r="K739" s="123"/>
      <c r="L739" s="123"/>
      <c r="M739" s="123"/>
      <c r="N739" s="123"/>
      <c r="O739" s="123"/>
      <c r="P739" s="123"/>
      <c r="Q739" s="123"/>
      <c r="U739" s="124"/>
      <c r="W739" s="125"/>
      <c r="AJ739" s="126"/>
      <c r="AK739" s="126"/>
      <c r="AL739" s="122"/>
    </row>
    <row r="740">
      <c r="C740" s="90"/>
      <c r="D740" s="90"/>
      <c r="E740" s="90"/>
      <c r="F740" s="90"/>
      <c r="G740" s="90"/>
      <c r="H740" s="123"/>
      <c r="I740" s="123"/>
      <c r="J740" s="123"/>
      <c r="K740" s="123"/>
      <c r="L740" s="123"/>
      <c r="M740" s="123"/>
      <c r="N740" s="123"/>
      <c r="O740" s="123"/>
      <c r="P740" s="123"/>
      <c r="Q740" s="123"/>
      <c r="U740" s="124"/>
      <c r="W740" s="125"/>
      <c r="AJ740" s="126"/>
      <c r="AK740" s="126"/>
      <c r="AL740" s="122"/>
    </row>
    <row r="741">
      <c r="C741" s="90"/>
      <c r="D741" s="90"/>
      <c r="E741" s="90"/>
      <c r="F741" s="90"/>
      <c r="G741" s="90"/>
      <c r="H741" s="123"/>
      <c r="I741" s="123"/>
      <c r="J741" s="123"/>
      <c r="K741" s="123"/>
      <c r="L741" s="123"/>
      <c r="M741" s="123"/>
      <c r="N741" s="123"/>
      <c r="O741" s="123"/>
      <c r="P741" s="123"/>
      <c r="Q741" s="123"/>
      <c r="U741" s="124"/>
      <c r="W741" s="125"/>
      <c r="AJ741" s="126"/>
      <c r="AK741" s="126"/>
      <c r="AL741" s="122"/>
    </row>
    <row r="742">
      <c r="C742" s="90"/>
      <c r="D742" s="90"/>
      <c r="E742" s="90"/>
      <c r="F742" s="90"/>
      <c r="G742" s="90"/>
      <c r="H742" s="123"/>
      <c r="I742" s="123"/>
      <c r="J742" s="123"/>
      <c r="K742" s="123"/>
      <c r="L742" s="123"/>
      <c r="M742" s="123"/>
      <c r="N742" s="123"/>
      <c r="O742" s="123"/>
      <c r="P742" s="123"/>
      <c r="Q742" s="123"/>
      <c r="U742" s="124"/>
      <c r="W742" s="125"/>
      <c r="AJ742" s="126"/>
      <c r="AK742" s="126"/>
      <c r="AL742" s="122"/>
    </row>
    <row r="743">
      <c r="C743" s="90"/>
      <c r="D743" s="90"/>
      <c r="E743" s="90"/>
      <c r="F743" s="90"/>
      <c r="G743" s="90"/>
      <c r="H743" s="123"/>
      <c r="I743" s="123"/>
      <c r="J743" s="123"/>
      <c r="K743" s="123"/>
      <c r="L743" s="123"/>
      <c r="M743" s="123"/>
      <c r="N743" s="123"/>
      <c r="O743" s="123"/>
      <c r="P743" s="123"/>
      <c r="Q743" s="123"/>
      <c r="U743" s="124"/>
      <c r="W743" s="125"/>
      <c r="AJ743" s="126"/>
      <c r="AK743" s="126"/>
      <c r="AL743" s="122"/>
    </row>
    <row r="744">
      <c r="C744" s="90"/>
      <c r="D744" s="90"/>
      <c r="E744" s="90"/>
      <c r="F744" s="90"/>
      <c r="G744" s="90"/>
      <c r="H744" s="123"/>
      <c r="I744" s="123"/>
      <c r="J744" s="123"/>
      <c r="K744" s="123"/>
      <c r="L744" s="123"/>
      <c r="M744" s="123"/>
      <c r="N744" s="123"/>
      <c r="O744" s="123"/>
      <c r="P744" s="123"/>
      <c r="Q744" s="123"/>
      <c r="U744" s="124"/>
      <c r="W744" s="125"/>
      <c r="AJ744" s="126"/>
      <c r="AK744" s="126"/>
      <c r="AL744" s="122"/>
    </row>
    <row r="745">
      <c r="C745" s="90"/>
      <c r="D745" s="90"/>
      <c r="E745" s="90"/>
      <c r="F745" s="90"/>
      <c r="G745" s="90"/>
      <c r="H745" s="123"/>
      <c r="I745" s="123"/>
      <c r="J745" s="123"/>
      <c r="K745" s="123"/>
      <c r="L745" s="123"/>
      <c r="M745" s="123"/>
      <c r="N745" s="123"/>
      <c r="O745" s="123"/>
      <c r="P745" s="123"/>
      <c r="Q745" s="123"/>
      <c r="U745" s="124"/>
      <c r="W745" s="125"/>
      <c r="AJ745" s="126"/>
      <c r="AK745" s="126"/>
      <c r="AL745" s="122"/>
    </row>
    <row r="746">
      <c r="C746" s="90"/>
      <c r="D746" s="90"/>
      <c r="E746" s="90"/>
      <c r="F746" s="90"/>
      <c r="G746" s="90"/>
      <c r="H746" s="123"/>
      <c r="I746" s="123"/>
      <c r="J746" s="123"/>
      <c r="K746" s="123"/>
      <c r="L746" s="123"/>
      <c r="M746" s="123"/>
      <c r="N746" s="123"/>
      <c r="O746" s="123"/>
      <c r="P746" s="123"/>
      <c r="Q746" s="123"/>
      <c r="U746" s="124"/>
      <c r="W746" s="125"/>
      <c r="AJ746" s="126"/>
      <c r="AK746" s="126"/>
      <c r="AL746" s="122"/>
    </row>
    <row r="747">
      <c r="C747" s="90"/>
      <c r="D747" s="90"/>
      <c r="E747" s="90"/>
      <c r="F747" s="90"/>
      <c r="G747" s="90"/>
      <c r="H747" s="123"/>
      <c r="I747" s="123"/>
      <c r="J747" s="123"/>
      <c r="K747" s="123"/>
      <c r="L747" s="123"/>
      <c r="M747" s="123"/>
      <c r="N747" s="123"/>
      <c r="O747" s="123"/>
      <c r="P747" s="123"/>
      <c r="Q747" s="123"/>
      <c r="U747" s="124"/>
      <c r="W747" s="125"/>
      <c r="AJ747" s="126"/>
      <c r="AK747" s="126"/>
      <c r="AL747" s="122"/>
    </row>
    <row r="748">
      <c r="C748" s="90"/>
      <c r="D748" s="90"/>
      <c r="E748" s="90"/>
      <c r="F748" s="90"/>
      <c r="G748" s="90"/>
      <c r="H748" s="123"/>
      <c r="I748" s="123"/>
      <c r="J748" s="123"/>
      <c r="K748" s="123"/>
      <c r="L748" s="123"/>
      <c r="M748" s="123"/>
      <c r="N748" s="123"/>
      <c r="O748" s="123"/>
      <c r="P748" s="123"/>
      <c r="Q748" s="123"/>
      <c r="U748" s="124"/>
      <c r="W748" s="125"/>
      <c r="AJ748" s="126"/>
      <c r="AK748" s="126"/>
      <c r="AL748" s="122"/>
    </row>
    <row r="749">
      <c r="C749" s="90"/>
      <c r="D749" s="90"/>
      <c r="E749" s="90"/>
      <c r="F749" s="90"/>
      <c r="G749" s="90"/>
      <c r="H749" s="123"/>
      <c r="I749" s="123"/>
      <c r="J749" s="123"/>
      <c r="K749" s="123"/>
      <c r="L749" s="123"/>
      <c r="M749" s="123"/>
      <c r="N749" s="123"/>
      <c r="O749" s="123"/>
      <c r="P749" s="123"/>
      <c r="Q749" s="123"/>
      <c r="U749" s="124"/>
      <c r="W749" s="125"/>
      <c r="AJ749" s="126"/>
      <c r="AK749" s="126"/>
      <c r="AL749" s="122"/>
    </row>
    <row r="750">
      <c r="C750" s="90"/>
      <c r="D750" s="90"/>
      <c r="E750" s="90"/>
      <c r="F750" s="90"/>
      <c r="G750" s="90"/>
      <c r="H750" s="123"/>
      <c r="I750" s="123"/>
      <c r="J750" s="123"/>
      <c r="K750" s="123"/>
      <c r="L750" s="123"/>
      <c r="M750" s="123"/>
      <c r="N750" s="123"/>
      <c r="O750" s="123"/>
      <c r="P750" s="123"/>
      <c r="Q750" s="123"/>
      <c r="U750" s="124"/>
      <c r="W750" s="125"/>
      <c r="AJ750" s="126"/>
      <c r="AK750" s="126"/>
      <c r="AL750" s="122"/>
    </row>
    <row r="751">
      <c r="C751" s="90"/>
      <c r="D751" s="90"/>
      <c r="E751" s="90"/>
      <c r="F751" s="90"/>
      <c r="G751" s="90"/>
      <c r="H751" s="123"/>
      <c r="I751" s="123"/>
      <c r="J751" s="123"/>
      <c r="K751" s="123"/>
      <c r="L751" s="123"/>
      <c r="M751" s="123"/>
      <c r="N751" s="123"/>
      <c r="O751" s="123"/>
      <c r="P751" s="123"/>
      <c r="Q751" s="123"/>
      <c r="U751" s="124"/>
      <c r="W751" s="125"/>
      <c r="AJ751" s="126"/>
      <c r="AK751" s="126"/>
      <c r="AL751" s="122"/>
    </row>
    <row r="752">
      <c r="C752" s="90"/>
      <c r="D752" s="90"/>
      <c r="E752" s="90"/>
      <c r="F752" s="90"/>
      <c r="G752" s="90"/>
      <c r="H752" s="123"/>
      <c r="I752" s="123"/>
      <c r="J752" s="123"/>
      <c r="K752" s="123"/>
      <c r="L752" s="123"/>
      <c r="M752" s="123"/>
      <c r="N752" s="123"/>
      <c r="O752" s="123"/>
      <c r="P752" s="123"/>
      <c r="Q752" s="123"/>
      <c r="U752" s="124"/>
      <c r="W752" s="125"/>
      <c r="AJ752" s="126"/>
      <c r="AK752" s="126"/>
      <c r="AL752" s="122"/>
    </row>
    <row r="753">
      <c r="C753" s="90"/>
      <c r="D753" s="90"/>
      <c r="E753" s="90"/>
      <c r="F753" s="90"/>
      <c r="G753" s="90"/>
      <c r="H753" s="123"/>
      <c r="I753" s="123"/>
      <c r="J753" s="123"/>
      <c r="K753" s="123"/>
      <c r="L753" s="123"/>
      <c r="M753" s="123"/>
      <c r="N753" s="123"/>
      <c r="O753" s="123"/>
      <c r="P753" s="123"/>
      <c r="Q753" s="123"/>
      <c r="U753" s="124"/>
      <c r="W753" s="125"/>
      <c r="AJ753" s="126"/>
      <c r="AK753" s="126"/>
      <c r="AL753" s="122"/>
    </row>
    <row r="754">
      <c r="C754" s="90"/>
      <c r="D754" s="90"/>
      <c r="E754" s="90"/>
      <c r="F754" s="90"/>
      <c r="G754" s="90"/>
      <c r="H754" s="123"/>
      <c r="I754" s="123"/>
      <c r="J754" s="123"/>
      <c r="K754" s="123"/>
      <c r="L754" s="123"/>
      <c r="M754" s="123"/>
      <c r="N754" s="123"/>
      <c r="O754" s="123"/>
      <c r="P754" s="123"/>
      <c r="Q754" s="123"/>
      <c r="U754" s="124"/>
      <c r="W754" s="125"/>
      <c r="AJ754" s="126"/>
      <c r="AK754" s="126"/>
      <c r="AL754" s="122"/>
    </row>
    <row r="755">
      <c r="C755" s="90"/>
      <c r="D755" s="90"/>
      <c r="E755" s="90"/>
      <c r="F755" s="90"/>
      <c r="G755" s="90"/>
      <c r="H755" s="123"/>
      <c r="I755" s="123"/>
      <c r="J755" s="123"/>
      <c r="K755" s="123"/>
      <c r="L755" s="123"/>
      <c r="M755" s="123"/>
      <c r="N755" s="123"/>
      <c r="O755" s="123"/>
      <c r="P755" s="123"/>
      <c r="Q755" s="123"/>
      <c r="U755" s="124"/>
      <c r="W755" s="125"/>
      <c r="AJ755" s="126"/>
      <c r="AK755" s="126"/>
      <c r="AL755" s="122"/>
    </row>
    <row r="756">
      <c r="C756" s="90"/>
      <c r="D756" s="90"/>
      <c r="E756" s="90"/>
      <c r="F756" s="90"/>
      <c r="G756" s="90"/>
      <c r="H756" s="123"/>
      <c r="I756" s="123"/>
      <c r="J756" s="123"/>
      <c r="K756" s="123"/>
      <c r="L756" s="123"/>
      <c r="M756" s="123"/>
      <c r="N756" s="123"/>
      <c r="O756" s="123"/>
      <c r="P756" s="123"/>
      <c r="Q756" s="123"/>
      <c r="U756" s="124"/>
      <c r="W756" s="125"/>
      <c r="AJ756" s="126"/>
      <c r="AK756" s="126"/>
      <c r="AL756" s="122"/>
    </row>
    <row r="757">
      <c r="C757" s="90"/>
      <c r="D757" s="90"/>
      <c r="E757" s="90"/>
      <c r="F757" s="90"/>
      <c r="G757" s="90"/>
      <c r="H757" s="123"/>
      <c r="I757" s="123"/>
      <c r="J757" s="123"/>
      <c r="K757" s="123"/>
      <c r="L757" s="123"/>
      <c r="M757" s="123"/>
      <c r="N757" s="123"/>
      <c r="O757" s="123"/>
      <c r="P757" s="123"/>
      <c r="Q757" s="123"/>
      <c r="U757" s="124"/>
      <c r="W757" s="125"/>
      <c r="AJ757" s="126"/>
      <c r="AK757" s="126"/>
      <c r="AL757" s="122"/>
    </row>
    <row r="758">
      <c r="C758" s="90"/>
      <c r="D758" s="90"/>
      <c r="E758" s="90"/>
      <c r="F758" s="90"/>
      <c r="G758" s="90"/>
      <c r="H758" s="123"/>
      <c r="I758" s="123"/>
      <c r="J758" s="123"/>
      <c r="K758" s="123"/>
      <c r="L758" s="123"/>
      <c r="M758" s="123"/>
      <c r="N758" s="123"/>
      <c r="O758" s="123"/>
      <c r="P758" s="123"/>
      <c r="Q758" s="123"/>
      <c r="U758" s="124"/>
      <c r="W758" s="125"/>
      <c r="AJ758" s="126"/>
      <c r="AK758" s="126"/>
      <c r="AL758" s="122"/>
    </row>
    <row r="759">
      <c r="C759" s="90"/>
      <c r="D759" s="90"/>
      <c r="E759" s="90"/>
      <c r="F759" s="90"/>
      <c r="G759" s="90"/>
      <c r="H759" s="123"/>
      <c r="I759" s="123"/>
      <c r="J759" s="123"/>
      <c r="K759" s="123"/>
      <c r="L759" s="123"/>
      <c r="M759" s="123"/>
      <c r="N759" s="123"/>
      <c r="O759" s="123"/>
      <c r="P759" s="123"/>
      <c r="Q759" s="123"/>
      <c r="U759" s="124"/>
      <c r="W759" s="125"/>
      <c r="AJ759" s="126"/>
      <c r="AK759" s="126"/>
      <c r="AL759" s="122"/>
    </row>
    <row r="760">
      <c r="C760" s="90"/>
      <c r="D760" s="90"/>
      <c r="E760" s="90"/>
      <c r="F760" s="90"/>
      <c r="G760" s="90"/>
      <c r="H760" s="123"/>
      <c r="I760" s="123"/>
      <c r="J760" s="123"/>
      <c r="K760" s="123"/>
      <c r="L760" s="123"/>
      <c r="M760" s="123"/>
      <c r="N760" s="123"/>
      <c r="O760" s="123"/>
      <c r="P760" s="123"/>
      <c r="Q760" s="123"/>
      <c r="U760" s="124"/>
      <c r="W760" s="125"/>
      <c r="AJ760" s="126"/>
      <c r="AK760" s="126"/>
      <c r="AL760" s="122"/>
    </row>
    <row r="761">
      <c r="C761" s="90"/>
      <c r="D761" s="90"/>
      <c r="E761" s="90"/>
      <c r="F761" s="90"/>
      <c r="G761" s="90"/>
      <c r="H761" s="123"/>
      <c r="I761" s="123"/>
      <c r="J761" s="123"/>
      <c r="K761" s="123"/>
      <c r="L761" s="123"/>
      <c r="M761" s="123"/>
      <c r="N761" s="123"/>
      <c r="O761" s="123"/>
      <c r="P761" s="123"/>
      <c r="Q761" s="123"/>
      <c r="U761" s="124"/>
      <c r="W761" s="125"/>
      <c r="AJ761" s="126"/>
      <c r="AK761" s="126"/>
      <c r="AL761" s="122"/>
    </row>
    <row r="762">
      <c r="C762" s="90"/>
      <c r="D762" s="90"/>
      <c r="E762" s="90"/>
      <c r="F762" s="90"/>
      <c r="G762" s="90"/>
      <c r="H762" s="123"/>
      <c r="I762" s="123"/>
      <c r="J762" s="123"/>
      <c r="K762" s="123"/>
      <c r="L762" s="123"/>
      <c r="M762" s="123"/>
      <c r="N762" s="123"/>
      <c r="O762" s="123"/>
      <c r="P762" s="123"/>
      <c r="Q762" s="123"/>
      <c r="U762" s="124"/>
      <c r="W762" s="125"/>
      <c r="AJ762" s="126"/>
      <c r="AK762" s="126"/>
      <c r="AL762" s="122"/>
    </row>
    <row r="763">
      <c r="C763" s="90"/>
      <c r="D763" s="90"/>
      <c r="E763" s="90"/>
      <c r="F763" s="90"/>
      <c r="G763" s="90"/>
      <c r="H763" s="123"/>
      <c r="I763" s="123"/>
      <c r="J763" s="123"/>
      <c r="K763" s="123"/>
      <c r="L763" s="123"/>
      <c r="M763" s="123"/>
      <c r="N763" s="123"/>
      <c r="O763" s="123"/>
      <c r="P763" s="123"/>
      <c r="Q763" s="123"/>
      <c r="U763" s="124"/>
      <c r="W763" s="125"/>
      <c r="AJ763" s="126"/>
      <c r="AK763" s="126"/>
      <c r="AL763" s="122"/>
    </row>
    <row r="764">
      <c r="C764" s="90"/>
      <c r="D764" s="90"/>
      <c r="E764" s="90"/>
      <c r="F764" s="90"/>
      <c r="G764" s="90"/>
      <c r="H764" s="123"/>
      <c r="I764" s="123"/>
      <c r="J764" s="123"/>
      <c r="K764" s="123"/>
      <c r="L764" s="123"/>
      <c r="M764" s="123"/>
      <c r="N764" s="123"/>
      <c r="O764" s="123"/>
      <c r="P764" s="123"/>
      <c r="Q764" s="123"/>
      <c r="U764" s="124"/>
      <c r="W764" s="125"/>
      <c r="AJ764" s="126"/>
      <c r="AK764" s="126"/>
      <c r="AL764" s="122"/>
    </row>
    <row r="765">
      <c r="C765" s="90"/>
      <c r="D765" s="90"/>
      <c r="E765" s="90"/>
      <c r="F765" s="90"/>
      <c r="G765" s="90"/>
      <c r="H765" s="123"/>
      <c r="I765" s="123"/>
      <c r="J765" s="123"/>
      <c r="K765" s="123"/>
      <c r="L765" s="123"/>
      <c r="M765" s="123"/>
      <c r="N765" s="123"/>
      <c r="O765" s="123"/>
      <c r="P765" s="123"/>
      <c r="Q765" s="123"/>
      <c r="U765" s="124"/>
      <c r="W765" s="125"/>
      <c r="AJ765" s="126"/>
      <c r="AK765" s="126"/>
      <c r="AL765" s="122"/>
    </row>
    <row r="766">
      <c r="C766" s="90"/>
      <c r="D766" s="90"/>
      <c r="E766" s="90"/>
      <c r="F766" s="90"/>
      <c r="G766" s="90"/>
      <c r="H766" s="123"/>
      <c r="I766" s="123"/>
      <c r="J766" s="123"/>
      <c r="K766" s="123"/>
      <c r="L766" s="123"/>
      <c r="M766" s="123"/>
      <c r="N766" s="123"/>
      <c r="O766" s="123"/>
      <c r="P766" s="123"/>
      <c r="Q766" s="123"/>
      <c r="U766" s="124"/>
      <c r="W766" s="125"/>
      <c r="AJ766" s="126"/>
      <c r="AK766" s="126"/>
      <c r="AL766" s="122"/>
    </row>
    <row r="767">
      <c r="C767" s="90"/>
      <c r="D767" s="90"/>
      <c r="E767" s="90"/>
      <c r="F767" s="90"/>
      <c r="G767" s="90"/>
      <c r="H767" s="123"/>
      <c r="I767" s="123"/>
      <c r="J767" s="123"/>
      <c r="K767" s="123"/>
      <c r="L767" s="123"/>
      <c r="M767" s="123"/>
      <c r="N767" s="123"/>
      <c r="O767" s="123"/>
      <c r="P767" s="123"/>
      <c r="Q767" s="123"/>
      <c r="U767" s="124"/>
      <c r="W767" s="125"/>
      <c r="AJ767" s="126"/>
      <c r="AK767" s="126"/>
      <c r="AL767" s="122"/>
    </row>
    <row r="768">
      <c r="C768" s="90"/>
      <c r="D768" s="90"/>
      <c r="E768" s="90"/>
      <c r="F768" s="90"/>
      <c r="G768" s="90"/>
      <c r="H768" s="123"/>
      <c r="I768" s="123"/>
      <c r="J768" s="123"/>
      <c r="K768" s="123"/>
      <c r="L768" s="123"/>
      <c r="M768" s="123"/>
      <c r="N768" s="123"/>
      <c r="O768" s="123"/>
      <c r="P768" s="123"/>
      <c r="Q768" s="123"/>
      <c r="U768" s="124"/>
      <c r="W768" s="125"/>
      <c r="AJ768" s="126"/>
      <c r="AK768" s="126"/>
      <c r="AL768" s="122"/>
    </row>
    <row r="769">
      <c r="C769" s="90"/>
      <c r="D769" s="90"/>
      <c r="E769" s="90"/>
      <c r="F769" s="90"/>
      <c r="G769" s="90"/>
      <c r="H769" s="123"/>
      <c r="I769" s="123"/>
      <c r="J769" s="123"/>
      <c r="K769" s="123"/>
      <c r="L769" s="123"/>
      <c r="M769" s="123"/>
      <c r="N769" s="123"/>
      <c r="O769" s="123"/>
      <c r="P769" s="123"/>
      <c r="Q769" s="123"/>
      <c r="U769" s="124"/>
      <c r="W769" s="125"/>
      <c r="AJ769" s="126"/>
      <c r="AK769" s="126"/>
      <c r="AL769" s="122"/>
    </row>
    <row r="770">
      <c r="C770" s="90"/>
      <c r="D770" s="90"/>
      <c r="E770" s="90"/>
      <c r="F770" s="90"/>
      <c r="G770" s="90"/>
      <c r="H770" s="123"/>
      <c r="I770" s="123"/>
      <c r="J770" s="123"/>
      <c r="K770" s="123"/>
      <c r="L770" s="123"/>
      <c r="M770" s="123"/>
      <c r="N770" s="123"/>
      <c r="O770" s="123"/>
      <c r="P770" s="123"/>
      <c r="Q770" s="123"/>
      <c r="U770" s="124"/>
      <c r="W770" s="125"/>
      <c r="AJ770" s="126"/>
      <c r="AK770" s="126"/>
      <c r="AL770" s="122"/>
    </row>
    <row r="771">
      <c r="C771" s="90"/>
      <c r="D771" s="90"/>
      <c r="E771" s="90"/>
      <c r="F771" s="90"/>
      <c r="G771" s="90"/>
      <c r="H771" s="123"/>
      <c r="I771" s="123"/>
      <c r="J771" s="123"/>
      <c r="K771" s="123"/>
      <c r="L771" s="123"/>
      <c r="M771" s="123"/>
      <c r="N771" s="123"/>
      <c r="O771" s="123"/>
      <c r="P771" s="123"/>
      <c r="Q771" s="123"/>
      <c r="U771" s="124"/>
      <c r="W771" s="125"/>
      <c r="AJ771" s="126"/>
      <c r="AK771" s="126"/>
      <c r="AL771" s="122"/>
    </row>
    <row r="772">
      <c r="C772" s="90"/>
      <c r="D772" s="90"/>
      <c r="E772" s="90"/>
      <c r="F772" s="90"/>
      <c r="G772" s="90"/>
      <c r="H772" s="123"/>
      <c r="I772" s="123"/>
      <c r="J772" s="123"/>
      <c r="K772" s="123"/>
      <c r="L772" s="123"/>
      <c r="M772" s="123"/>
      <c r="N772" s="123"/>
      <c r="O772" s="123"/>
      <c r="P772" s="123"/>
      <c r="Q772" s="123"/>
      <c r="U772" s="124"/>
      <c r="W772" s="125"/>
      <c r="AJ772" s="126"/>
      <c r="AK772" s="126"/>
      <c r="AL772" s="122"/>
    </row>
    <row r="773">
      <c r="C773" s="90"/>
      <c r="D773" s="90"/>
      <c r="E773" s="90"/>
      <c r="F773" s="90"/>
      <c r="G773" s="90"/>
      <c r="H773" s="123"/>
      <c r="I773" s="123"/>
      <c r="J773" s="123"/>
      <c r="K773" s="123"/>
      <c r="L773" s="123"/>
      <c r="M773" s="123"/>
      <c r="N773" s="123"/>
      <c r="O773" s="123"/>
      <c r="P773" s="123"/>
      <c r="Q773" s="123"/>
      <c r="U773" s="124"/>
      <c r="W773" s="125"/>
      <c r="AJ773" s="126"/>
      <c r="AK773" s="126"/>
      <c r="AL773" s="122"/>
    </row>
    <row r="774">
      <c r="C774" s="90"/>
      <c r="D774" s="90"/>
      <c r="E774" s="90"/>
      <c r="F774" s="90"/>
      <c r="G774" s="90"/>
      <c r="H774" s="123"/>
      <c r="I774" s="123"/>
      <c r="J774" s="123"/>
      <c r="K774" s="123"/>
      <c r="L774" s="123"/>
      <c r="M774" s="123"/>
      <c r="N774" s="123"/>
      <c r="O774" s="123"/>
      <c r="P774" s="123"/>
      <c r="Q774" s="123"/>
      <c r="U774" s="124"/>
      <c r="W774" s="125"/>
      <c r="AJ774" s="126"/>
      <c r="AK774" s="126"/>
      <c r="AL774" s="122"/>
    </row>
    <row r="775">
      <c r="C775" s="90"/>
      <c r="D775" s="90"/>
      <c r="E775" s="90"/>
      <c r="F775" s="90"/>
      <c r="G775" s="90"/>
      <c r="H775" s="123"/>
      <c r="I775" s="123"/>
      <c r="J775" s="123"/>
      <c r="K775" s="123"/>
      <c r="L775" s="123"/>
      <c r="M775" s="123"/>
      <c r="N775" s="123"/>
      <c r="O775" s="123"/>
      <c r="P775" s="123"/>
      <c r="Q775" s="123"/>
      <c r="U775" s="124"/>
      <c r="W775" s="125"/>
      <c r="AJ775" s="126"/>
      <c r="AK775" s="126"/>
      <c r="AL775" s="122"/>
    </row>
    <row r="776">
      <c r="C776" s="90"/>
      <c r="D776" s="90"/>
      <c r="E776" s="90"/>
      <c r="F776" s="90"/>
      <c r="G776" s="90"/>
      <c r="H776" s="123"/>
      <c r="I776" s="123"/>
      <c r="J776" s="123"/>
      <c r="K776" s="123"/>
      <c r="L776" s="123"/>
      <c r="M776" s="123"/>
      <c r="N776" s="123"/>
      <c r="O776" s="123"/>
      <c r="P776" s="123"/>
      <c r="Q776" s="123"/>
      <c r="U776" s="124"/>
      <c r="W776" s="125"/>
      <c r="AJ776" s="126"/>
      <c r="AK776" s="126"/>
      <c r="AL776" s="122"/>
    </row>
    <row r="777">
      <c r="C777" s="90"/>
      <c r="D777" s="90"/>
      <c r="E777" s="90"/>
      <c r="F777" s="90"/>
      <c r="G777" s="90"/>
      <c r="H777" s="123"/>
      <c r="I777" s="123"/>
      <c r="J777" s="123"/>
      <c r="K777" s="123"/>
      <c r="L777" s="123"/>
      <c r="M777" s="123"/>
      <c r="N777" s="123"/>
      <c r="O777" s="123"/>
      <c r="P777" s="123"/>
      <c r="Q777" s="123"/>
      <c r="U777" s="124"/>
      <c r="W777" s="125"/>
      <c r="AJ777" s="126"/>
      <c r="AK777" s="126"/>
      <c r="AL777" s="122"/>
    </row>
    <row r="778">
      <c r="C778" s="90"/>
      <c r="D778" s="90"/>
      <c r="E778" s="90"/>
      <c r="F778" s="90"/>
      <c r="G778" s="90"/>
      <c r="H778" s="123"/>
      <c r="I778" s="123"/>
      <c r="J778" s="123"/>
      <c r="K778" s="123"/>
      <c r="L778" s="123"/>
      <c r="M778" s="123"/>
      <c r="N778" s="123"/>
      <c r="O778" s="123"/>
      <c r="P778" s="123"/>
      <c r="Q778" s="123"/>
      <c r="U778" s="124"/>
      <c r="W778" s="125"/>
      <c r="AJ778" s="126"/>
      <c r="AK778" s="126"/>
      <c r="AL778" s="122"/>
    </row>
    <row r="779">
      <c r="C779" s="90"/>
      <c r="D779" s="90"/>
      <c r="E779" s="90"/>
      <c r="F779" s="90"/>
      <c r="G779" s="90"/>
      <c r="H779" s="123"/>
      <c r="I779" s="123"/>
      <c r="J779" s="123"/>
      <c r="K779" s="123"/>
      <c r="L779" s="123"/>
      <c r="M779" s="123"/>
      <c r="N779" s="123"/>
      <c r="O779" s="123"/>
      <c r="P779" s="123"/>
      <c r="Q779" s="123"/>
      <c r="U779" s="124"/>
      <c r="W779" s="125"/>
      <c r="AJ779" s="126"/>
      <c r="AK779" s="126"/>
      <c r="AL779" s="122"/>
    </row>
    <row r="780">
      <c r="C780" s="90"/>
      <c r="D780" s="90"/>
      <c r="E780" s="90"/>
      <c r="F780" s="90"/>
      <c r="G780" s="90"/>
      <c r="H780" s="123"/>
      <c r="I780" s="123"/>
      <c r="J780" s="123"/>
      <c r="K780" s="123"/>
      <c r="L780" s="123"/>
      <c r="M780" s="123"/>
      <c r="N780" s="123"/>
      <c r="O780" s="123"/>
      <c r="P780" s="123"/>
      <c r="Q780" s="123"/>
      <c r="U780" s="124"/>
      <c r="W780" s="125"/>
      <c r="AJ780" s="126"/>
      <c r="AK780" s="126"/>
      <c r="AL780" s="122"/>
    </row>
    <row r="781">
      <c r="C781" s="90"/>
      <c r="D781" s="90"/>
      <c r="E781" s="90"/>
      <c r="F781" s="90"/>
      <c r="G781" s="90"/>
      <c r="H781" s="123"/>
      <c r="I781" s="123"/>
      <c r="J781" s="123"/>
      <c r="K781" s="123"/>
      <c r="L781" s="123"/>
      <c r="M781" s="123"/>
      <c r="N781" s="123"/>
      <c r="O781" s="123"/>
      <c r="P781" s="123"/>
      <c r="Q781" s="123"/>
      <c r="U781" s="124"/>
      <c r="W781" s="125"/>
      <c r="AJ781" s="126"/>
      <c r="AK781" s="126"/>
      <c r="AL781" s="122"/>
    </row>
    <row r="782">
      <c r="C782" s="90"/>
      <c r="D782" s="90"/>
      <c r="E782" s="90"/>
      <c r="F782" s="90"/>
      <c r="G782" s="90"/>
      <c r="H782" s="123"/>
      <c r="I782" s="123"/>
      <c r="J782" s="123"/>
      <c r="K782" s="123"/>
      <c r="L782" s="123"/>
      <c r="M782" s="123"/>
      <c r="N782" s="123"/>
      <c r="O782" s="123"/>
      <c r="P782" s="123"/>
      <c r="Q782" s="123"/>
      <c r="U782" s="124"/>
      <c r="W782" s="125"/>
      <c r="AJ782" s="126"/>
      <c r="AK782" s="126"/>
      <c r="AL782" s="122"/>
    </row>
    <row r="783">
      <c r="C783" s="90"/>
      <c r="D783" s="90"/>
      <c r="E783" s="90"/>
      <c r="F783" s="90"/>
      <c r="G783" s="90"/>
      <c r="H783" s="123"/>
      <c r="I783" s="123"/>
      <c r="J783" s="123"/>
      <c r="K783" s="123"/>
      <c r="L783" s="123"/>
      <c r="M783" s="123"/>
      <c r="N783" s="123"/>
      <c r="O783" s="123"/>
      <c r="P783" s="123"/>
      <c r="Q783" s="123"/>
      <c r="U783" s="124"/>
      <c r="W783" s="125"/>
      <c r="AJ783" s="126"/>
      <c r="AK783" s="126"/>
      <c r="AL783" s="122"/>
    </row>
    <row r="784">
      <c r="C784" s="90"/>
      <c r="D784" s="90"/>
      <c r="E784" s="90"/>
      <c r="F784" s="90"/>
      <c r="G784" s="90"/>
      <c r="H784" s="123"/>
      <c r="I784" s="123"/>
      <c r="J784" s="123"/>
      <c r="K784" s="123"/>
      <c r="L784" s="123"/>
      <c r="M784" s="123"/>
      <c r="N784" s="123"/>
      <c r="O784" s="123"/>
      <c r="P784" s="123"/>
      <c r="Q784" s="123"/>
      <c r="U784" s="124"/>
      <c r="W784" s="125"/>
      <c r="AJ784" s="126"/>
      <c r="AK784" s="126"/>
      <c r="AL784" s="122"/>
    </row>
    <row r="785">
      <c r="C785" s="90"/>
      <c r="D785" s="90"/>
      <c r="E785" s="90"/>
      <c r="F785" s="90"/>
      <c r="G785" s="90"/>
      <c r="H785" s="123"/>
      <c r="I785" s="123"/>
      <c r="J785" s="123"/>
      <c r="K785" s="123"/>
      <c r="L785" s="123"/>
      <c r="M785" s="123"/>
      <c r="N785" s="123"/>
      <c r="O785" s="123"/>
      <c r="P785" s="123"/>
      <c r="Q785" s="123"/>
      <c r="U785" s="124"/>
      <c r="W785" s="125"/>
      <c r="AJ785" s="126"/>
      <c r="AK785" s="126"/>
      <c r="AL785" s="122"/>
    </row>
    <row r="786">
      <c r="C786" s="90"/>
      <c r="D786" s="90"/>
      <c r="E786" s="90"/>
      <c r="F786" s="90"/>
      <c r="G786" s="90"/>
      <c r="H786" s="123"/>
      <c r="I786" s="123"/>
      <c r="J786" s="123"/>
      <c r="K786" s="123"/>
      <c r="L786" s="123"/>
      <c r="M786" s="123"/>
      <c r="N786" s="123"/>
      <c r="O786" s="123"/>
      <c r="P786" s="123"/>
      <c r="Q786" s="123"/>
      <c r="U786" s="124"/>
      <c r="W786" s="125"/>
      <c r="AJ786" s="126"/>
      <c r="AK786" s="126"/>
      <c r="AL786" s="122"/>
    </row>
    <row r="787">
      <c r="C787" s="90"/>
      <c r="D787" s="90"/>
      <c r="E787" s="90"/>
      <c r="F787" s="90"/>
      <c r="G787" s="90"/>
      <c r="H787" s="123"/>
      <c r="I787" s="123"/>
      <c r="J787" s="123"/>
      <c r="K787" s="123"/>
      <c r="L787" s="123"/>
      <c r="M787" s="123"/>
      <c r="N787" s="123"/>
      <c r="O787" s="123"/>
      <c r="P787" s="123"/>
      <c r="Q787" s="123"/>
      <c r="U787" s="124"/>
      <c r="W787" s="125"/>
      <c r="AJ787" s="126"/>
      <c r="AK787" s="126"/>
      <c r="AL787" s="122"/>
    </row>
    <row r="788">
      <c r="C788" s="90"/>
      <c r="D788" s="90"/>
      <c r="E788" s="90"/>
      <c r="F788" s="90"/>
      <c r="G788" s="90"/>
      <c r="H788" s="123"/>
      <c r="I788" s="123"/>
      <c r="J788" s="123"/>
      <c r="K788" s="123"/>
      <c r="L788" s="123"/>
      <c r="M788" s="123"/>
      <c r="N788" s="123"/>
      <c r="O788" s="123"/>
      <c r="P788" s="123"/>
      <c r="Q788" s="123"/>
      <c r="U788" s="124"/>
      <c r="W788" s="125"/>
      <c r="AJ788" s="126"/>
      <c r="AK788" s="126"/>
      <c r="AL788" s="122"/>
    </row>
    <row r="789">
      <c r="C789" s="90"/>
      <c r="D789" s="90"/>
      <c r="E789" s="90"/>
      <c r="F789" s="90"/>
      <c r="G789" s="90"/>
      <c r="H789" s="123"/>
      <c r="I789" s="123"/>
      <c r="J789" s="123"/>
      <c r="K789" s="123"/>
      <c r="L789" s="123"/>
      <c r="M789" s="123"/>
      <c r="N789" s="123"/>
      <c r="O789" s="123"/>
      <c r="P789" s="123"/>
      <c r="Q789" s="123"/>
      <c r="U789" s="124"/>
      <c r="W789" s="125"/>
      <c r="AJ789" s="126"/>
      <c r="AK789" s="126"/>
      <c r="AL789" s="122"/>
    </row>
    <row r="790">
      <c r="C790" s="90"/>
      <c r="D790" s="90"/>
      <c r="E790" s="90"/>
      <c r="F790" s="90"/>
      <c r="G790" s="90"/>
      <c r="H790" s="123"/>
      <c r="I790" s="123"/>
      <c r="J790" s="123"/>
      <c r="K790" s="123"/>
      <c r="L790" s="123"/>
      <c r="M790" s="123"/>
      <c r="N790" s="123"/>
      <c r="O790" s="123"/>
      <c r="P790" s="123"/>
      <c r="Q790" s="123"/>
      <c r="U790" s="124"/>
      <c r="W790" s="125"/>
      <c r="AJ790" s="126"/>
      <c r="AK790" s="126"/>
      <c r="AL790" s="122"/>
    </row>
    <row r="791">
      <c r="C791" s="90"/>
      <c r="D791" s="90"/>
      <c r="E791" s="90"/>
      <c r="F791" s="90"/>
      <c r="G791" s="90"/>
      <c r="H791" s="123"/>
      <c r="I791" s="123"/>
      <c r="J791" s="123"/>
      <c r="K791" s="123"/>
      <c r="L791" s="123"/>
      <c r="M791" s="123"/>
      <c r="N791" s="123"/>
      <c r="O791" s="123"/>
      <c r="P791" s="123"/>
      <c r="Q791" s="123"/>
      <c r="U791" s="124"/>
      <c r="W791" s="125"/>
      <c r="AJ791" s="126"/>
      <c r="AK791" s="126"/>
      <c r="AL791" s="122"/>
    </row>
    <row r="792">
      <c r="C792" s="90"/>
      <c r="D792" s="90"/>
      <c r="E792" s="90"/>
      <c r="F792" s="90"/>
      <c r="G792" s="90"/>
      <c r="H792" s="123"/>
      <c r="I792" s="123"/>
      <c r="J792" s="123"/>
      <c r="K792" s="123"/>
      <c r="L792" s="123"/>
      <c r="M792" s="123"/>
      <c r="N792" s="123"/>
      <c r="O792" s="123"/>
      <c r="P792" s="123"/>
      <c r="Q792" s="123"/>
      <c r="U792" s="124"/>
      <c r="W792" s="125"/>
      <c r="AJ792" s="126"/>
      <c r="AK792" s="126"/>
      <c r="AL792" s="122"/>
    </row>
    <row r="793">
      <c r="C793" s="90"/>
      <c r="D793" s="90"/>
      <c r="E793" s="90"/>
      <c r="F793" s="90"/>
      <c r="G793" s="90"/>
      <c r="H793" s="123"/>
      <c r="I793" s="123"/>
      <c r="J793" s="123"/>
      <c r="K793" s="123"/>
      <c r="L793" s="123"/>
      <c r="M793" s="123"/>
      <c r="N793" s="123"/>
      <c r="O793" s="123"/>
      <c r="P793" s="123"/>
      <c r="Q793" s="123"/>
      <c r="U793" s="124"/>
      <c r="W793" s="125"/>
      <c r="AJ793" s="126"/>
      <c r="AK793" s="126"/>
      <c r="AL793" s="122"/>
    </row>
    <row r="794">
      <c r="C794" s="90"/>
      <c r="D794" s="90"/>
      <c r="E794" s="90"/>
      <c r="F794" s="90"/>
      <c r="G794" s="90"/>
      <c r="H794" s="123"/>
      <c r="I794" s="123"/>
      <c r="J794" s="123"/>
      <c r="K794" s="123"/>
      <c r="L794" s="123"/>
      <c r="M794" s="123"/>
      <c r="N794" s="123"/>
      <c r="O794" s="123"/>
      <c r="P794" s="123"/>
      <c r="Q794" s="123"/>
      <c r="U794" s="124"/>
      <c r="W794" s="125"/>
      <c r="AJ794" s="126"/>
      <c r="AK794" s="126"/>
      <c r="AL794" s="122"/>
    </row>
    <row r="795">
      <c r="C795" s="90"/>
      <c r="D795" s="90"/>
      <c r="E795" s="90"/>
      <c r="F795" s="90"/>
      <c r="G795" s="90"/>
      <c r="H795" s="123"/>
      <c r="I795" s="123"/>
      <c r="J795" s="123"/>
      <c r="K795" s="123"/>
      <c r="L795" s="123"/>
      <c r="M795" s="123"/>
      <c r="N795" s="123"/>
      <c r="O795" s="123"/>
      <c r="P795" s="123"/>
      <c r="Q795" s="123"/>
      <c r="U795" s="124"/>
      <c r="W795" s="125"/>
      <c r="AJ795" s="126"/>
      <c r="AK795" s="126"/>
      <c r="AL795" s="122"/>
    </row>
    <row r="796">
      <c r="C796" s="90"/>
      <c r="D796" s="90"/>
      <c r="E796" s="90"/>
      <c r="F796" s="90"/>
      <c r="G796" s="90"/>
      <c r="H796" s="123"/>
      <c r="I796" s="123"/>
      <c r="J796" s="123"/>
      <c r="K796" s="123"/>
      <c r="L796" s="123"/>
      <c r="M796" s="123"/>
      <c r="N796" s="123"/>
      <c r="O796" s="123"/>
      <c r="P796" s="123"/>
      <c r="Q796" s="123"/>
      <c r="U796" s="124"/>
      <c r="W796" s="125"/>
      <c r="AJ796" s="126"/>
      <c r="AK796" s="126"/>
      <c r="AL796" s="122"/>
    </row>
    <row r="797">
      <c r="C797" s="90"/>
      <c r="D797" s="90"/>
      <c r="E797" s="90"/>
      <c r="F797" s="90"/>
      <c r="G797" s="90"/>
      <c r="H797" s="123"/>
      <c r="I797" s="123"/>
      <c r="J797" s="123"/>
      <c r="K797" s="123"/>
      <c r="L797" s="123"/>
      <c r="M797" s="123"/>
      <c r="N797" s="123"/>
      <c r="O797" s="123"/>
      <c r="P797" s="123"/>
      <c r="Q797" s="123"/>
      <c r="U797" s="124"/>
      <c r="W797" s="125"/>
      <c r="AJ797" s="126"/>
      <c r="AK797" s="126"/>
      <c r="AL797" s="122"/>
    </row>
    <row r="798">
      <c r="C798" s="90"/>
      <c r="D798" s="90"/>
      <c r="E798" s="90"/>
      <c r="F798" s="90"/>
      <c r="G798" s="90"/>
      <c r="H798" s="123"/>
      <c r="I798" s="123"/>
      <c r="J798" s="123"/>
      <c r="K798" s="123"/>
      <c r="L798" s="123"/>
      <c r="M798" s="123"/>
      <c r="N798" s="123"/>
      <c r="O798" s="123"/>
      <c r="P798" s="123"/>
      <c r="Q798" s="123"/>
      <c r="U798" s="124"/>
      <c r="W798" s="125"/>
      <c r="AJ798" s="126"/>
      <c r="AK798" s="126"/>
      <c r="AL798" s="122"/>
    </row>
    <row r="799">
      <c r="C799" s="90"/>
      <c r="D799" s="90"/>
      <c r="E799" s="90"/>
      <c r="F799" s="90"/>
      <c r="G799" s="90"/>
      <c r="H799" s="123"/>
      <c r="I799" s="123"/>
      <c r="J799" s="123"/>
      <c r="K799" s="123"/>
      <c r="L799" s="123"/>
      <c r="M799" s="123"/>
      <c r="N799" s="123"/>
      <c r="O799" s="123"/>
      <c r="P799" s="123"/>
      <c r="Q799" s="123"/>
      <c r="U799" s="124"/>
      <c r="W799" s="125"/>
      <c r="AJ799" s="126"/>
      <c r="AK799" s="126"/>
      <c r="AL799" s="122"/>
    </row>
    <row r="800">
      <c r="C800" s="90"/>
      <c r="D800" s="90"/>
      <c r="E800" s="90"/>
      <c r="F800" s="90"/>
      <c r="G800" s="90"/>
      <c r="H800" s="123"/>
      <c r="I800" s="123"/>
      <c r="J800" s="123"/>
      <c r="K800" s="123"/>
      <c r="L800" s="123"/>
      <c r="M800" s="123"/>
      <c r="N800" s="123"/>
      <c r="O800" s="123"/>
      <c r="P800" s="123"/>
      <c r="Q800" s="123"/>
      <c r="U800" s="124"/>
      <c r="W800" s="125"/>
      <c r="AJ800" s="126"/>
      <c r="AK800" s="126"/>
      <c r="AL800" s="122"/>
    </row>
    <row r="801">
      <c r="C801" s="90"/>
      <c r="D801" s="90"/>
      <c r="E801" s="90"/>
      <c r="F801" s="90"/>
      <c r="G801" s="90"/>
      <c r="H801" s="123"/>
      <c r="I801" s="123"/>
      <c r="J801" s="123"/>
      <c r="K801" s="123"/>
      <c r="L801" s="123"/>
      <c r="M801" s="123"/>
      <c r="N801" s="123"/>
      <c r="O801" s="123"/>
      <c r="P801" s="123"/>
      <c r="Q801" s="123"/>
      <c r="U801" s="124"/>
      <c r="W801" s="125"/>
      <c r="AJ801" s="126"/>
      <c r="AK801" s="126"/>
      <c r="AL801" s="122"/>
    </row>
    <row r="802">
      <c r="C802" s="90"/>
      <c r="D802" s="90"/>
      <c r="E802" s="90"/>
      <c r="F802" s="90"/>
      <c r="G802" s="90"/>
      <c r="H802" s="123"/>
      <c r="I802" s="123"/>
      <c r="J802" s="123"/>
      <c r="K802" s="123"/>
      <c r="L802" s="123"/>
      <c r="M802" s="123"/>
      <c r="N802" s="123"/>
      <c r="O802" s="123"/>
      <c r="P802" s="123"/>
      <c r="Q802" s="123"/>
      <c r="U802" s="124"/>
      <c r="W802" s="125"/>
      <c r="AJ802" s="126"/>
      <c r="AK802" s="126"/>
      <c r="AL802" s="122"/>
    </row>
    <row r="803">
      <c r="C803" s="90"/>
      <c r="D803" s="90"/>
      <c r="E803" s="90"/>
      <c r="F803" s="90"/>
      <c r="G803" s="90"/>
      <c r="H803" s="123"/>
      <c r="I803" s="123"/>
      <c r="J803" s="123"/>
      <c r="K803" s="123"/>
      <c r="L803" s="123"/>
      <c r="M803" s="123"/>
      <c r="N803" s="123"/>
      <c r="O803" s="123"/>
      <c r="P803" s="123"/>
      <c r="Q803" s="123"/>
      <c r="U803" s="124"/>
      <c r="W803" s="125"/>
      <c r="AJ803" s="126"/>
      <c r="AK803" s="126"/>
      <c r="AL803" s="122"/>
    </row>
    <row r="804">
      <c r="C804" s="90"/>
      <c r="D804" s="90"/>
      <c r="E804" s="90"/>
      <c r="F804" s="90"/>
      <c r="G804" s="90"/>
      <c r="H804" s="123"/>
      <c r="I804" s="123"/>
      <c r="J804" s="123"/>
      <c r="K804" s="123"/>
      <c r="L804" s="123"/>
      <c r="M804" s="123"/>
      <c r="N804" s="123"/>
      <c r="O804" s="123"/>
      <c r="P804" s="123"/>
      <c r="Q804" s="123"/>
      <c r="U804" s="124"/>
      <c r="W804" s="125"/>
      <c r="AJ804" s="126"/>
      <c r="AK804" s="126"/>
      <c r="AL804" s="122"/>
    </row>
    <row r="805">
      <c r="C805" s="90"/>
      <c r="D805" s="90"/>
      <c r="E805" s="90"/>
      <c r="F805" s="90"/>
      <c r="G805" s="90"/>
      <c r="H805" s="123"/>
      <c r="I805" s="123"/>
      <c r="J805" s="123"/>
      <c r="K805" s="123"/>
      <c r="L805" s="123"/>
      <c r="M805" s="123"/>
      <c r="N805" s="123"/>
      <c r="O805" s="123"/>
      <c r="P805" s="123"/>
      <c r="Q805" s="123"/>
      <c r="U805" s="124"/>
      <c r="W805" s="125"/>
      <c r="AJ805" s="126"/>
      <c r="AK805" s="126"/>
      <c r="AL805" s="122"/>
    </row>
    <row r="806">
      <c r="C806" s="90"/>
      <c r="D806" s="90"/>
      <c r="E806" s="90"/>
      <c r="F806" s="90"/>
      <c r="G806" s="90"/>
      <c r="H806" s="123"/>
      <c r="I806" s="123"/>
      <c r="J806" s="123"/>
      <c r="K806" s="123"/>
      <c r="L806" s="123"/>
      <c r="M806" s="123"/>
      <c r="N806" s="123"/>
      <c r="O806" s="123"/>
      <c r="P806" s="123"/>
      <c r="Q806" s="123"/>
      <c r="U806" s="124"/>
      <c r="W806" s="125"/>
      <c r="AJ806" s="126"/>
      <c r="AK806" s="126"/>
      <c r="AL806" s="122"/>
    </row>
    <row r="807">
      <c r="C807" s="90"/>
      <c r="D807" s="90"/>
      <c r="E807" s="90"/>
      <c r="F807" s="90"/>
      <c r="G807" s="90"/>
      <c r="H807" s="123"/>
      <c r="I807" s="123"/>
      <c r="J807" s="123"/>
      <c r="K807" s="123"/>
      <c r="L807" s="123"/>
      <c r="M807" s="123"/>
      <c r="N807" s="123"/>
      <c r="O807" s="123"/>
      <c r="P807" s="123"/>
      <c r="Q807" s="123"/>
      <c r="U807" s="124"/>
      <c r="W807" s="125"/>
      <c r="AJ807" s="126"/>
      <c r="AK807" s="126"/>
      <c r="AL807" s="122"/>
    </row>
    <row r="808">
      <c r="C808" s="90"/>
      <c r="D808" s="90"/>
      <c r="E808" s="90"/>
      <c r="F808" s="90"/>
      <c r="G808" s="90"/>
      <c r="H808" s="123"/>
      <c r="I808" s="123"/>
      <c r="J808" s="123"/>
      <c r="K808" s="123"/>
      <c r="L808" s="123"/>
      <c r="M808" s="123"/>
      <c r="N808" s="123"/>
      <c r="O808" s="123"/>
      <c r="P808" s="123"/>
      <c r="Q808" s="123"/>
      <c r="U808" s="124"/>
      <c r="W808" s="125"/>
      <c r="AJ808" s="126"/>
      <c r="AK808" s="126"/>
      <c r="AL808" s="122"/>
    </row>
    <row r="809">
      <c r="C809" s="90"/>
      <c r="D809" s="90"/>
      <c r="E809" s="90"/>
      <c r="F809" s="90"/>
      <c r="G809" s="90"/>
      <c r="H809" s="123"/>
      <c r="I809" s="123"/>
      <c r="J809" s="123"/>
      <c r="K809" s="123"/>
      <c r="L809" s="123"/>
      <c r="M809" s="123"/>
      <c r="N809" s="123"/>
      <c r="O809" s="123"/>
      <c r="P809" s="123"/>
      <c r="Q809" s="123"/>
      <c r="U809" s="124"/>
      <c r="W809" s="125"/>
      <c r="AJ809" s="126"/>
      <c r="AK809" s="126"/>
      <c r="AL809" s="122"/>
    </row>
    <row r="810">
      <c r="C810" s="90"/>
      <c r="D810" s="90"/>
      <c r="E810" s="90"/>
      <c r="F810" s="90"/>
      <c r="G810" s="90"/>
      <c r="H810" s="123"/>
      <c r="I810" s="123"/>
      <c r="J810" s="123"/>
      <c r="K810" s="123"/>
      <c r="L810" s="123"/>
      <c r="M810" s="123"/>
      <c r="N810" s="123"/>
      <c r="O810" s="123"/>
      <c r="P810" s="123"/>
      <c r="Q810" s="123"/>
      <c r="U810" s="124"/>
      <c r="W810" s="125"/>
      <c r="AJ810" s="126"/>
      <c r="AK810" s="126"/>
      <c r="AL810" s="122"/>
    </row>
    <row r="811">
      <c r="C811" s="90"/>
      <c r="D811" s="90"/>
      <c r="E811" s="90"/>
      <c r="F811" s="90"/>
      <c r="G811" s="90"/>
      <c r="H811" s="123"/>
      <c r="I811" s="123"/>
      <c r="J811" s="123"/>
      <c r="K811" s="123"/>
      <c r="L811" s="123"/>
      <c r="M811" s="123"/>
      <c r="N811" s="123"/>
      <c r="O811" s="123"/>
      <c r="P811" s="123"/>
      <c r="Q811" s="123"/>
      <c r="U811" s="124"/>
      <c r="W811" s="125"/>
      <c r="AJ811" s="126"/>
      <c r="AK811" s="126"/>
      <c r="AL811" s="122"/>
    </row>
    <row r="812">
      <c r="C812" s="90"/>
      <c r="D812" s="90"/>
      <c r="E812" s="90"/>
      <c r="F812" s="90"/>
      <c r="G812" s="90"/>
      <c r="H812" s="123"/>
      <c r="I812" s="123"/>
      <c r="J812" s="123"/>
      <c r="K812" s="123"/>
      <c r="L812" s="123"/>
      <c r="M812" s="123"/>
      <c r="N812" s="123"/>
      <c r="O812" s="123"/>
      <c r="P812" s="123"/>
      <c r="Q812" s="123"/>
      <c r="U812" s="124"/>
      <c r="W812" s="125"/>
      <c r="AJ812" s="126"/>
      <c r="AK812" s="126"/>
      <c r="AL812" s="122"/>
    </row>
    <row r="813">
      <c r="C813" s="90"/>
      <c r="D813" s="90"/>
      <c r="E813" s="90"/>
      <c r="F813" s="90"/>
      <c r="G813" s="90"/>
      <c r="H813" s="123"/>
      <c r="I813" s="123"/>
      <c r="J813" s="123"/>
      <c r="K813" s="123"/>
      <c r="L813" s="123"/>
      <c r="M813" s="123"/>
      <c r="N813" s="123"/>
      <c r="O813" s="123"/>
      <c r="P813" s="123"/>
      <c r="Q813" s="123"/>
      <c r="U813" s="124"/>
      <c r="W813" s="125"/>
      <c r="AJ813" s="126"/>
      <c r="AK813" s="126"/>
      <c r="AL813" s="122"/>
    </row>
    <row r="814">
      <c r="C814" s="90"/>
      <c r="D814" s="90"/>
      <c r="E814" s="90"/>
      <c r="F814" s="90"/>
      <c r="G814" s="90"/>
      <c r="H814" s="123"/>
      <c r="I814" s="123"/>
      <c r="J814" s="123"/>
      <c r="K814" s="123"/>
      <c r="L814" s="123"/>
      <c r="M814" s="123"/>
      <c r="N814" s="123"/>
      <c r="O814" s="123"/>
      <c r="P814" s="123"/>
      <c r="Q814" s="123"/>
      <c r="U814" s="124"/>
      <c r="W814" s="125"/>
      <c r="AJ814" s="126"/>
      <c r="AK814" s="126"/>
      <c r="AL814" s="122"/>
    </row>
    <row r="815">
      <c r="C815" s="90"/>
      <c r="D815" s="90"/>
      <c r="E815" s="90"/>
      <c r="F815" s="90"/>
      <c r="G815" s="90"/>
      <c r="H815" s="123"/>
      <c r="I815" s="123"/>
      <c r="J815" s="123"/>
      <c r="K815" s="123"/>
      <c r="L815" s="123"/>
      <c r="M815" s="123"/>
      <c r="N815" s="123"/>
      <c r="O815" s="123"/>
      <c r="P815" s="123"/>
      <c r="Q815" s="123"/>
      <c r="U815" s="124"/>
      <c r="W815" s="125"/>
      <c r="AJ815" s="126"/>
      <c r="AK815" s="126"/>
      <c r="AL815" s="122"/>
    </row>
    <row r="816">
      <c r="C816" s="90"/>
      <c r="D816" s="90"/>
      <c r="E816" s="90"/>
      <c r="F816" s="90"/>
      <c r="G816" s="90"/>
      <c r="H816" s="123"/>
      <c r="I816" s="123"/>
      <c r="J816" s="123"/>
      <c r="K816" s="123"/>
      <c r="L816" s="123"/>
      <c r="M816" s="123"/>
      <c r="N816" s="123"/>
      <c r="O816" s="123"/>
      <c r="P816" s="123"/>
      <c r="Q816" s="123"/>
      <c r="U816" s="124"/>
      <c r="W816" s="125"/>
      <c r="AJ816" s="126"/>
      <c r="AK816" s="126"/>
      <c r="AL816" s="122"/>
    </row>
    <row r="817">
      <c r="C817" s="90"/>
      <c r="D817" s="90"/>
      <c r="E817" s="90"/>
      <c r="F817" s="90"/>
      <c r="G817" s="90"/>
      <c r="H817" s="123"/>
      <c r="I817" s="123"/>
      <c r="J817" s="123"/>
      <c r="K817" s="123"/>
      <c r="L817" s="123"/>
      <c r="M817" s="123"/>
      <c r="N817" s="123"/>
      <c r="O817" s="123"/>
      <c r="P817" s="123"/>
      <c r="Q817" s="123"/>
      <c r="U817" s="124"/>
      <c r="W817" s="125"/>
      <c r="AJ817" s="126"/>
      <c r="AK817" s="126"/>
      <c r="AL817" s="122"/>
    </row>
    <row r="818">
      <c r="C818" s="90"/>
      <c r="D818" s="90"/>
      <c r="E818" s="90"/>
      <c r="F818" s="90"/>
      <c r="G818" s="90"/>
      <c r="H818" s="123"/>
      <c r="I818" s="123"/>
      <c r="J818" s="123"/>
      <c r="K818" s="123"/>
      <c r="L818" s="123"/>
      <c r="M818" s="123"/>
      <c r="N818" s="123"/>
      <c r="O818" s="123"/>
      <c r="P818" s="123"/>
      <c r="Q818" s="123"/>
      <c r="U818" s="124"/>
      <c r="W818" s="125"/>
      <c r="AJ818" s="126"/>
      <c r="AK818" s="126"/>
      <c r="AL818" s="122"/>
    </row>
    <row r="819">
      <c r="C819" s="90"/>
      <c r="D819" s="90"/>
      <c r="E819" s="90"/>
      <c r="F819" s="90"/>
      <c r="G819" s="90"/>
      <c r="H819" s="123"/>
      <c r="I819" s="123"/>
      <c r="J819" s="123"/>
      <c r="K819" s="123"/>
      <c r="L819" s="123"/>
      <c r="M819" s="123"/>
      <c r="N819" s="123"/>
      <c r="O819" s="123"/>
      <c r="P819" s="123"/>
      <c r="Q819" s="123"/>
      <c r="U819" s="124"/>
      <c r="W819" s="125"/>
      <c r="AJ819" s="126"/>
      <c r="AK819" s="126"/>
      <c r="AL819" s="122"/>
    </row>
    <row r="820">
      <c r="C820" s="90"/>
      <c r="D820" s="90"/>
      <c r="E820" s="90"/>
      <c r="F820" s="90"/>
      <c r="G820" s="90"/>
      <c r="H820" s="123"/>
      <c r="I820" s="123"/>
      <c r="J820" s="123"/>
      <c r="K820" s="123"/>
      <c r="L820" s="123"/>
      <c r="M820" s="123"/>
      <c r="N820" s="123"/>
      <c r="O820" s="123"/>
      <c r="P820" s="123"/>
      <c r="Q820" s="123"/>
      <c r="U820" s="124"/>
      <c r="W820" s="125"/>
      <c r="AJ820" s="126"/>
      <c r="AK820" s="126"/>
      <c r="AL820" s="122"/>
    </row>
    <row r="821">
      <c r="C821" s="90"/>
      <c r="D821" s="90"/>
      <c r="E821" s="90"/>
      <c r="F821" s="90"/>
      <c r="G821" s="90"/>
      <c r="H821" s="123"/>
      <c r="I821" s="123"/>
      <c r="J821" s="123"/>
      <c r="K821" s="123"/>
      <c r="L821" s="123"/>
      <c r="M821" s="123"/>
      <c r="N821" s="123"/>
      <c r="O821" s="123"/>
      <c r="P821" s="123"/>
      <c r="Q821" s="123"/>
      <c r="U821" s="124"/>
      <c r="W821" s="125"/>
      <c r="AJ821" s="126"/>
      <c r="AK821" s="126"/>
      <c r="AL821" s="122"/>
    </row>
    <row r="822">
      <c r="C822" s="90"/>
      <c r="D822" s="90"/>
      <c r="E822" s="90"/>
      <c r="F822" s="90"/>
      <c r="G822" s="90"/>
      <c r="H822" s="123"/>
      <c r="I822" s="123"/>
      <c r="J822" s="123"/>
      <c r="K822" s="123"/>
      <c r="L822" s="123"/>
      <c r="M822" s="123"/>
      <c r="N822" s="123"/>
      <c r="O822" s="123"/>
      <c r="P822" s="123"/>
      <c r="Q822" s="123"/>
      <c r="U822" s="124"/>
      <c r="W822" s="125"/>
      <c r="AJ822" s="126"/>
      <c r="AK822" s="126"/>
      <c r="AL822" s="122"/>
    </row>
    <row r="823">
      <c r="C823" s="90"/>
      <c r="D823" s="90"/>
      <c r="E823" s="90"/>
      <c r="F823" s="90"/>
      <c r="G823" s="90"/>
      <c r="H823" s="123"/>
      <c r="I823" s="123"/>
      <c r="J823" s="123"/>
      <c r="K823" s="123"/>
      <c r="L823" s="123"/>
      <c r="M823" s="123"/>
      <c r="N823" s="123"/>
      <c r="O823" s="123"/>
      <c r="P823" s="123"/>
      <c r="Q823" s="123"/>
      <c r="U823" s="124"/>
      <c r="W823" s="125"/>
      <c r="AJ823" s="126"/>
      <c r="AK823" s="126"/>
      <c r="AL823" s="122"/>
    </row>
    <row r="824">
      <c r="C824" s="90"/>
      <c r="D824" s="90"/>
      <c r="E824" s="90"/>
      <c r="F824" s="90"/>
      <c r="G824" s="90"/>
      <c r="H824" s="123"/>
      <c r="I824" s="123"/>
      <c r="J824" s="123"/>
      <c r="K824" s="123"/>
      <c r="L824" s="123"/>
      <c r="M824" s="123"/>
      <c r="N824" s="123"/>
      <c r="O824" s="123"/>
      <c r="P824" s="123"/>
      <c r="Q824" s="123"/>
      <c r="U824" s="124"/>
      <c r="W824" s="125"/>
      <c r="AJ824" s="126"/>
      <c r="AK824" s="126"/>
      <c r="AL824" s="122"/>
    </row>
    <row r="825">
      <c r="C825" s="90"/>
      <c r="D825" s="90"/>
      <c r="E825" s="90"/>
      <c r="F825" s="90"/>
      <c r="G825" s="90"/>
      <c r="H825" s="123"/>
      <c r="I825" s="123"/>
      <c r="J825" s="123"/>
      <c r="K825" s="123"/>
      <c r="L825" s="123"/>
      <c r="M825" s="123"/>
      <c r="N825" s="123"/>
      <c r="O825" s="123"/>
      <c r="P825" s="123"/>
      <c r="Q825" s="123"/>
      <c r="U825" s="124"/>
      <c r="W825" s="125"/>
      <c r="AJ825" s="126"/>
      <c r="AK825" s="126"/>
      <c r="AL825" s="122"/>
    </row>
    <row r="826">
      <c r="C826" s="90"/>
      <c r="D826" s="90"/>
      <c r="E826" s="90"/>
      <c r="F826" s="90"/>
      <c r="G826" s="90"/>
      <c r="H826" s="123"/>
      <c r="I826" s="123"/>
      <c r="J826" s="123"/>
      <c r="K826" s="123"/>
      <c r="L826" s="123"/>
      <c r="M826" s="123"/>
      <c r="N826" s="123"/>
      <c r="O826" s="123"/>
      <c r="P826" s="123"/>
      <c r="Q826" s="123"/>
      <c r="U826" s="124"/>
      <c r="W826" s="125"/>
      <c r="AJ826" s="126"/>
      <c r="AK826" s="126"/>
      <c r="AL826" s="122"/>
    </row>
    <row r="827">
      <c r="C827" s="90"/>
      <c r="D827" s="90"/>
      <c r="E827" s="90"/>
      <c r="F827" s="90"/>
      <c r="G827" s="90"/>
      <c r="H827" s="123"/>
      <c r="I827" s="123"/>
      <c r="J827" s="123"/>
      <c r="K827" s="123"/>
      <c r="L827" s="123"/>
      <c r="M827" s="123"/>
      <c r="N827" s="123"/>
      <c r="O827" s="123"/>
      <c r="P827" s="123"/>
      <c r="Q827" s="123"/>
      <c r="U827" s="124"/>
      <c r="W827" s="125"/>
      <c r="AJ827" s="126"/>
      <c r="AK827" s="126"/>
      <c r="AL827" s="122"/>
    </row>
    <row r="828">
      <c r="C828" s="90"/>
      <c r="D828" s="90"/>
      <c r="E828" s="90"/>
      <c r="F828" s="90"/>
      <c r="G828" s="90"/>
      <c r="H828" s="123"/>
      <c r="I828" s="123"/>
      <c r="J828" s="123"/>
      <c r="K828" s="123"/>
      <c r="L828" s="123"/>
      <c r="M828" s="123"/>
      <c r="N828" s="123"/>
      <c r="O828" s="123"/>
      <c r="P828" s="123"/>
      <c r="Q828" s="123"/>
      <c r="U828" s="124"/>
      <c r="W828" s="125"/>
      <c r="AJ828" s="126"/>
      <c r="AK828" s="126"/>
      <c r="AL828" s="122"/>
    </row>
    <row r="829">
      <c r="C829" s="90"/>
      <c r="D829" s="90"/>
      <c r="E829" s="90"/>
      <c r="F829" s="90"/>
      <c r="G829" s="90"/>
      <c r="H829" s="123"/>
      <c r="I829" s="123"/>
      <c r="J829" s="123"/>
      <c r="K829" s="123"/>
      <c r="L829" s="123"/>
      <c r="M829" s="123"/>
      <c r="N829" s="123"/>
      <c r="O829" s="123"/>
      <c r="P829" s="123"/>
      <c r="Q829" s="123"/>
      <c r="U829" s="124"/>
      <c r="W829" s="125"/>
      <c r="AJ829" s="126"/>
      <c r="AK829" s="126"/>
      <c r="AL829" s="122"/>
    </row>
    <row r="830">
      <c r="C830" s="90"/>
      <c r="D830" s="90"/>
      <c r="E830" s="90"/>
      <c r="F830" s="90"/>
      <c r="G830" s="90"/>
      <c r="H830" s="123"/>
      <c r="I830" s="123"/>
      <c r="J830" s="123"/>
      <c r="K830" s="123"/>
      <c r="L830" s="123"/>
      <c r="M830" s="123"/>
      <c r="N830" s="123"/>
      <c r="O830" s="123"/>
      <c r="P830" s="123"/>
      <c r="Q830" s="123"/>
      <c r="U830" s="124"/>
      <c r="W830" s="125"/>
      <c r="AJ830" s="126"/>
      <c r="AK830" s="126"/>
      <c r="AL830" s="122"/>
    </row>
    <row r="831">
      <c r="C831" s="90"/>
      <c r="D831" s="90"/>
      <c r="E831" s="90"/>
      <c r="F831" s="90"/>
      <c r="G831" s="90"/>
      <c r="H831" s="123"/>
      <c r="I831" s="123"/>
      <c r="J831" s="123"/>
      <c r="K831" s="123"/>
      <c r="L831" s="123"/>
      <c r="M831" s="123"/>
      <c r="N831" s="123"/>
      <c r="O831" s="123"/>
      <c r="P831" s="123"/>
      <c r="Q831" s="123"/>
      <c r="U831" s="124"/>
      <c r="W831" s="125"/>
      <c r="AJ831" s="126"/>
      <c r="AK831" s="126"/>
      <c r="AL831" s="122"/>
    </row>
    <row r="832">
      <c r="C832" s="90"/>
      <c r="D832" s="90"/>
      <c r="E832" s="90"/>
      <c r="F832" s="90"/>
      <c r="G832" s="90"/>
      <c r="H832" s="123"/>
      <c r="I832" s="123"/>
      <c r="J832" s="123"/>
      <c r="K832" s="123"/>
      <c r="L832" s="123"/>
      <c r="M832" s="123"/>
      <c r="N832" s="123"/>
      <c r="O832" s="123"/>
      <c r="P832" s="123"/>
      <c r="Q832" s="123"/>
      <c r="U832" s="124"/>
      <c r="W832" s="125"/>
      <c r="AJ832" s="126"/>
      <c r="AK832" s="126"/>
      <c r="AL832" s="122"/>
    </row>
    <row r="833">
      <c r="C833" s="90"/>
      <c r="D833" s="90"/>
      <c r="E833" s="90"/>
      <c r="F833" s="90"/>
      <c r="G833" s="90"/>
      <c r="H833" s="123"/>
      <c r="I833" s="123"/>
      <c r="J833" s="123"/>
      <c r="K833" s="123"/>
      <c r="L833" s="123"/>
      <c r="M833" s="123"/>
      <c r="N833" s="123"/>
      <c r="O833" s="123"/>
      <c r="P833" s="123"/>
      <c r="Q833" s="123"/>
      <c r="U833" s="124"/>
      <c r="W833" s="125"/>
      <c r="AJ833" s="126"/>
      <c r="AK833" s="126"/>
      <c r="AL833" s="122"/>
    </row>
    <row r="834">
      <c r="C834" s="90"/>
      <c r="D834" s="90"/>
      <c r="E834" s="90"/>
      <c r="F834" s="90"/>
      <c r="G834" s="90"/>
      <c r="H834" s="123"/>
      <c r="I834" s="123"/>
      <c r="J834" s="123"/>
      <c r="K834" s="123"/>
      <c r="L834" s="123"/>
      <c r="M834" s="123"/>
      <c r="N834" s="123"/>
      <c r="O834" s="123"/>
      <c r="P834" s="123"/>
      <c r="Q834" s="123"/>
      <c r="U834" s="124"/>
      <c r="W834" s="125"/>
      <c r="AJ834" s="126"/>
      <c r="AK834" s="126"/>
      <c r="AL834" s="122"/>
    </row>
    <row r="835">
      <c r="C835" s="90"/>
      <c r="D835" s="90"/>
      <c r="E835" s="90"/>
      <c r="F835" s="90"/>
      <c r="G835" s="90"/>
      <c r="H835" s="123"/>
      <c r="I835" s="123"/>
      <c r="J835" s="123"/>
      <c r="K835" s="123"/>
      <c r="L835" s="123"/>
      <c r="M835" s="123"/>
      <c r="N835" s="123"/>
      <c r="O835" s="123"/>
      <c r="P835" s="123"/>
      <c r="Q835" s="123"/>
      <c r="U835" s="124"/>
      <c r="W835" s="125"/>
      <c r="AJ835" s="126"/>
      <c r="AK835" s="126"/>
      <c r="AL835" s="122"/>
    </row>
    <row r="836">
      <c r="C836" s="90"/>
      <c r="D836" s="90"/>
      <c r="E836" s="90"/>
      <c r="F836" s="90"/>
      <c r="G836" s="90"/>
      <c r="H836" s="123"/>
      <c r="I836" s="123"/>
      <c r="J836" s="123"/>
      <c r="K836" s="123"/>
      <c r="L836" s="123"/>
      <c r="M836" s="123"/>
      <c r="N836" s="123"/>
      <c r="O836" s="123"/>
      <c r="P836" s="123"/>
      <c r="Q836" s="123"/>
      <c r="U836" s="124"/>
      <c r="W836" s="125"/>
      <c r="AJ836" s="126"/>
      <c r="AK836" s="126"/>
      <c r="AL836" s="122"/>
    </row>
    <row r="837">
      <c r="C837" s="90"/>
      <c r="D837" s="90"/>
      <c r="E837" s="90"/>
      <c r="F837" s="90"/>
      <c r="G837" s="90"/>
      <c r="H837" s="123"/>
      <c r="I837" s="123"/>
      <c r="J837" s="123"/>
      <c r="K837" s="123"/>
      <c r="L837" s="123"/>
      <c r="M837" s="123"/>
      <c r="N837" s="123"/>
      <c r="O837" s="123"/>
      <c r="P837" s="123"/>
      <c r="Q837" s="123"/>
      <c r="U837" s="124"/>
      <c r="W837" s="125"/>
      <c r="AJ837" s="126"/>
      <c r="AK837" s="126"/>
      <c r="AL837" s="122"/>
    </row>
    <row r="838">
      <c r="C838" s="90"/>
      <c r="D838" s="90"/>
      <c r="E838" s="90"/>
      <c r="F838" s="90"/>
      <c r="G838" s="90"/>
      <c r="H838" s="123"/>
      <c r="I838" s="123"/>
      <c r="J838" s="123"/>
      <c r="K838" s="123"/>
      <c r="L838" s="123"/>
      <c r="M838" s="123"/>
      <c r="N838" s="123"/>
      <c r="O838" s="123"/>
      <c r="P838" s="123"/>
      <c r="Q838" s="123"/>
      <c r="U838" s="124"/>
      <c r="W838" s="125"/>
      <c r="AJ838" s="126"/>
      <c r="AK838" s="126"/>
      <c r="AL838" s="122"/>
    </row>
    <row r="839">
      <c r="C839" s="90"/>
      <c r="D839" s="90"/>
      <c r="E839" s="90"/>
      <c r="F839" s="90"/>
      <c r="G839" s="90"/>
      <c r="H839" s="123"/>
      <c r="I839" s="123"/>
      <c r="J839" s="123"/>
      <c r="K839" s="123"/>
      <c r="L839" s="123"/>
      <c r="M839" s="123"/>
      <c r="N839" s="123"/>
      <c r="O839" s="123"/>
      <c r="P839" s="123"/>
      <c r="Q839" s="123"/>
      <c r="U839" s="124"/>
      <c r="W839" s="125"/>
      <c r="AJ839" s="126"/>
      <c r="AK839" s="126"/>
      <c r="AL839" s="122"/>
    </row>
    <row r="840">
      <c r="C840" s="90"/>
      <c r="D840" s="90"/>
      <c r="E840" s="90"/>
      <c r="F840" s="90"/>
      <c r="G840" s="90"/>
      <c r="H840" s="123"/>
      <c r="I840" s="123"/>
      <c r="J840" s="123"/>
      <c r="K840" s="123"/>
      <c r="L840" s="123"/>
      <c r="M840" s="123"/>
      <c r="N840" s="123"/>
      <c r="O840" s="123"/>
      <c r="P840" s="123"/>
      <c r="Q840" s="123"/>
      <c r="U840" s="124"/>
      <c r="W840" s="125"/>
      <c r="AJ840" s="126"/>
      <c r="AK840" s="126"/>
      <c r="AL840" s="122"/>
    </row>
    <row r="841">
      <c r="C841" s="90"/>
      <c r="D841" s="90"/>
      <c r="E841" s="90"/>
      <c r="F841" s="90"/>
      <c r="G841" s="90"/>
      <c r="H841" s="123"/>
      <c r="I841" s="123"/>
      <c r="J841" s="123"/>
      <c r="K841" s="123"/>
      <c r="L841" s="123"/>
      <c r="M841" s="123"/>
      <c r="N841" s="123"/>
      <c r="O841" s="123"/>
      <c r="P841" s="123"/>
      <c r="Q841" s="123"/>
      <c r="U841" s="124"/>
      <c r="W841" s="125"/>
      <c r="AJ841" s="126"/>
      <c r="AK841" s="126"/>
      <c r="AL841" s="122"/>
    </row>
    <row r="842">
      <c r="C842" s="90"/>
      <c r="D842" s="90"/>
      <c r="E842" s="90"/>
      <c r="F842" s="90"/>
      <c r="G842" s="90"/>
      <c r="H842" s="123"/>
      <c r="I842" s="123"/>
      <c r="J842" s="123"/>
      <c r="K842" s="123"/>
      <c r="L842" s="123"/>
      <c r="M842" s="123"/>
      <c r="N842" s="123"/>
      <c r="O842" s="123"/>
      <c r="P842" s="123"/>
      <c r="Q842" s="123"/>
      <c r="U842" s="124"/>
      <c r="W842" s="125"/>
      <c r="AJ842" s="126"/>
      <c r="AK842" s="126"/>
      <c r="AL842" s="122"/>
    </row>
    <row r="843">
      <c r="C843" s="90"/>
      <c r="D843" s="90"/>
      <c r="E843" s="90"/>
      <c r="F843" s="90"/>
      <c r="G843" s="90"/>
      <c r="H843" s="123"/>
      <c r="I843" s="123"/>
      <c r="J843" s="123"/>
      <c r="K843" s="123"/>
      <c r="L843" s="123"/>
      <c r="M843" s="123"/>
      <c r="N843" s="123"/>
      <c r="O843" s="123"/>
      <c r="P843" s="123"/>
      <c r="Q843" s="123"/>
      <c r="U843" s="124"/>
      <c r="W843" s="125"/>
      <c r="AJ843" s="126"/>
      <c r="AK843" s="126"/>
      <c r="AL843" s="122"/>
    </row>
    <row r="844">
      <c r="C844" s="90"/>
      <c r="D844" s="90"/>
      <c r="E844" s="90"/>
      <c r="F844" s="90"/>
      <c r="G844" s="90"/>
      <c r="H844" s="123"/>
      <c r="I844" s="123"/>
      <c r="J844" s="123"/>
      <c r="K844" s="123"/>
      <c r="L844" s="123"/>
      <c r="M844" s="123"/>
      <c r="N844" s="123"/>
      <c r="O844" s="123"/>
      <c r="P844" s="123"/>
      <c r="Q844" s="123"/>
      <c r="U844" s="124"/>
      <c r="W844" s="125"/>
      <c r="AJ844" s="126"/>
      <c r="AK844" s="126"/>
      <c r="AL844" s="122"/>
    </row>
    <row r="845">
      <c r="C845" s="90"/>
      <c r="D845" s="90"/>
      <c r="E845" s="90"/>
      <c r="F845" s="90"/>
      <c r="G845" s="90"/>
      <c r="H845" s="123"/>
      <c r="I845" s="123"/>
      <c r="J845" s="123"/>
      <c r="K845" s="123"/>
      <c r="L845" s="123"/>
      <c r="M845" s="123"/>
      <c r="N845" s="123"/>
      <c r="O845" s="123"/>
      <c r="P845" s="123"/>
      <c r="Q845" s="123"/>
      <c r="U845" s="124"/>
      <c r="W845" s="125"/>
      <c r="AJ845" s="126"/>
      <c r="AK845" s="126"/>
      <c r="AL845" s="122"/>
    </row>
    <row r="846">
      <c r="C846" s="90"/>
      <c r="D846" s="90"/>
      <c r="E846" s="90"/>
      <c r="F846" s="90"/>
      <c r="G846" s="90"/>
      <c r="H846" s="123"/>
      <c r="I846" s="123"/>
      <c r="J846" s="123"/>
      <c r="K846" s="123"/>
      <c r="L846" s="123"/>
      <c r="M846" s="123"/>
      <c r="N846" s="123"/>
      <c r="O846" s="123"/>
      <c r="P846" s="123"/>
      <c r="Q846" s="123"/>
      <c r="U846" s="124"/>
      <c r="W846" s="125"/>
      <c r="AJ846" s="126"/>
      <c r="AK846" s="126"/>
      <c r="AL846" s="122"/>
    </row>
    <row r="847">
      <c r="C847" s="90"/>
      <c r="D847" s="90"/>
      <c r="E847" s="90"/>
      <c r="F847" s="90"/>
      <c r="G847" s="90"/>
      <c r="H847" s="123"/>
      <c r="I847" s="123"/>
      <c r="J847" s="123"/>
      <c r="K847" s="123"/>
      <c r="L847" s="123"/>
      <c r="M847" s="123"/>
      <c r="N847" s="123"/>
      <c r="O847" s="123"/>
      <c r="P847" s="123"/>
      <c r="Q847" s="123"/>
      <c r="U847" s="124"/>
      <c r="W847" s="125"/>
      <c r="AJ847" s="126"/>
      <c r="AK847" s="126"/>
      <c r="AL847" s="122"/>
    </row>
    <row r="848">
      <c r="C848" s="90"/>
      <c r="D848" s="90"/>
      <c r="E848" s="90"/>
      <c r="F848" s="90"/>
      <c r="G848" s="90"/>
      <c r="H848" s="123"/>
      <c r="I848" s="123"/>
      <c r="J848" s="123"/>
      <c r="K848" s="123"/>
      <c r="L848" s="123"/>
      <c r="M848" s="123"/>
      <c r="N848" s="123"/>
      <c r="O848" s="123"/>
      <c r="P848" s="123"/>
      <c r="Q848" s="123"/>
      <c r="U848" s="124"/>
      <c r="W848" s="125"/>
      <c r="AJ848" s="126"/>
      <c r="AK848" s="126"/>
      <c r="AL848" s="122"/>
    </row>
    <row r="849">
      <c r="C849" s="90"/>
      <c r="D849" s="90"/>
      <c r="E849" s="90"/>
      <c r="F849" s="90"/>
      <c r="G849" s="90"/>
      <c r="H849" s="123"/>
      <c r="I849" s="123"/>
      <c r="J849" s="123"/>
      <c r="K849" s="123"/>
      <c r="L849" s="123"/>
      <c r="M849" s="123"/>
      <c r="N849" s="123"/>
      <c r="O849" s="123"/>
      <c r="P849" s="123"/>
      <c r="Q849" s="123"/>
      <c r="U849" s="124"/>
      <c r="W849" s="125"/>
      <c r="AJ849" s="126"/>
      <c r="AK849" s="126"/>
      <c r="AL849" s="122"/>
    </row>
    <row r="850">
      <c r="C850" s="90"/>
      <c r="D850" s="90"/>
      <c r="E850" s="90"/>
      <c r="F850" s="90"/>
      <c r="G850" s="90"/>
      <c r="H850" s="123"/>
      <c r="I850" s="123"/>
      <c r="J850" s="123"/>
      <c r="K850" s="123"/>
      <c r="L850" s="123"/>
      <c r="M850" s="123"/>
      <c r="N850" s="123"/>
      <c r="O850" s="123"/>
      <c r="P850" s="123"/>
      <c r="Q850" s="123"/>
      <c r="U850" s="124"/>
      <c r="W850" s="125"/>
      <c r="AJ850" s="126"/>
      <c r="AK850" s="126"/>
      <c r="AL850" s="122"/>
    </row>
    <row r="851">
      <c r="C851" s="90"/>
      <c r="D851" s="90"/>
      <c r="E851" s="90"/>
      <c r="F851" s="90"/>
      <c r="G851" s="90"/>
      <c r="H851" s="123"/>
      <c r="I851" s="123"/>
      <c r="J851" s="123"/>
      <c r="K851" s="123"/>
      <c r="L851" s="123"/>
      <c r="M851" s="123"/>
      <c r="N851" s="123"/>
      <c r="O851" s="123"/>
      <c r="P851" s="123"/>
      <c r="Q851" s="123"/>
      <c r="U851" s="124"/>
      <c r="W851" s="125"/>
      <c r="AJ851" s="126"/>
      <c r="AK851" s="126"/>
      <c r="AL851" s="122"/>
    </row>
    <row r="852">
      <c r="C852" s="90"/>
      <c r="D852" s="90"/>
      <c r="E852" s="90"/>
      <c r="F852" s="90"/>
      <c r="G852" s="90"/>
      <c r="H852" s="123"/>
      <c r="I852" s="123"/>
      <c r="J852" s="123"/>
      <c r="K852" s="123"/>
      <c r="L852" s="123"/>
      <c r="M852" s="123"/>
      <c r="N852" s="123"/>
      <c r="O852" s="123"/>
      <c r="P852" s="123"/>
      <c r="Q852" s="123"/>
      <c r="U852" s="124"/>
      <c r="W852" s="125"/>
      <c r="AJ852" s="126"/>
      <c r="AK852" s="126"/>
      <c r="AL852" s="122"/>
    </row>
    <row r="853">
      <c r="C853" s="90"/>
      <c r="D853" s="90"/>
      <c r="E853" s="90"/>
      <c r="F853" s="90"/>
      <c r="G853" s="90"/>
      <c r="H853" s="123"/>
      <c r="I853" s="123"/>
      <c r="J853" s="123"/>
      <c r="K853" s="123"/>
      <c r="L853" s="123"/>
      <c r="M853" s="123"/>
      <c r="N853" s="123"/>
      <c r="O853" s="123"/>
      <c r="P853" s="123"/>
      <c r="Q853" s="123"/>
      <c r="U853" s="124"/>
      <c r="W853" s="125"/>
      <c r="AJ853" s="126"/>
      <c r="AK853" s="126"/>
      <c r="AL853" s="122"/>
    </row>
    <row r="854">
      <c r="C854" s="90"/>
      <c r="D854" s="90"/>
      <c r="E854" s="90"/>
      <c r="F854" s="90"/>
      <c r="G854" s="90"/>
      <c r="H854" s="123"/>
      <c r="I854" s="123"/>
      <c r="J854" s="123"/>
      <c r="K854" s="123"/>
      <c r="L854" s="123"/>
      <c r="M854" s="123"/>
      <c r="N854" s="123"/>
      <c r="O854" s="123"/>
      <c r="P854" s="123"/>
      <c r="Q854" s="123"/>
      <c r="U854" s="124"/>
      <c r="W854" s="125"/>
      <c r="AJ854" s="126"/>
      <c r="AK854" s="126"/>
      <c r="AL854" s="122"/>
    </row>
    <row r="855">
      <c r="C855" s="90"/>
      <c r="D855" s="90"/>
      <c r="E855" s="90"/>
      <c r="F855" s="90"/>
      <c r="G855" s="90"/>
      <c r="H855" s="123"/>
      <c r="I855" s="123"/>
      <c r="J855" s="123"/>
      <c r="K855" s="123"/>
      <c r="L855" s="123"/>
      <c r="M855" s="123"/>
      <c r="N855" s="123"/>
      <c r="O855" s="123"/>
      <c r="P855" s="123"/>
      <c r="Q855" s="123"/>
      <c r="U855" s="124"/>
      <c r="W855" s="125"/>
      <c r="AJ855" s="126"/>
      <c r="AK855" s="126"/>
      <c r="AL855" s="122"/>
    </row>
    <row r="856">
      <c r="C856" s="90"/>
      <c r="D856" s="90"/>
      <c r="E856" s="90"/>
      <c r="F856" s="90"/>
      <c r="G856" s="90"/>
      <c r="H856" s="123"/>
      <c r="I856" s="123"/>
      <c r="J856" s="123"/>
      <c r="K856" s="123"/>
      <c r="L856" s="123"/>
      <c r="M856" s="123"/>
      <c r="N856" s="123"/>
      <c r="O856" s="123"/>
      <c r="P856" s="123"/>
      <c r="Q856" s="123"/>
      <c r="U856" s="124"/>
      <c r="W856" s="125"/>
      <c r="AJ856" s="126"/>
      <c r="AK856" s="126"/>
      <c r="AL856" s="122"/>
    </row>
    <row r="857">
      <c r="C857" s="90"/>
      <c r="D857" s="90"/>
      <c r="E857" s="90"/>
      <c r="F857" s="90"/>
      <c r="G857" s="90"/>
      <c r="H857" s="123"/>
      <c r="I857" s="123"/>
      <c r="J857" s="123"/>
      <c r="K857" s="123"/>
      <c r="L857" s="123"/>
      <c r="M857" s="123"/>
      <c r="N857" s="123"/>
      <c r="O857" s="123"/>
      <c r="P857" s="123"/>
      <c r="Q857" s="123"/>
      <c r="U857" s="124"/>
      <c r="W857" s="125"/>
      <c r="AJ857" s="126"/>
      <c r="AK857" s="126"/>
      <c r="AL857" s="122"/>
    </row>
    <row r="858">
      <c r="C858" s="90"/>
      <c r="D858" s="90"/>
      <c r="E858" s="90"/>
      <c r="F858" s="90"/>
      <c r="G858" s="90"/>
      <c r="H858" s="123"/>
      <c r="I858" s="123"/>
      <c r="J858" s="123"/>
      <c r="K858" s="123"/>
      <c r="L858" s="123"/>
      <c r="M858" s="123"/>
      <c r="N858" s="123"/>
      <c r="O858" s="123"/>
      <c r="P858" s="123"/>
      <c r="Q858" s="123"/>
      <c r="U858" s="124"/>
      <c r="W858" s="125"/>
      <c r="AJ858" s="126"/>
      <c r="AK858" s="126"/>
      <c r="AL858" s="122"/>
    </row>
    <row r="859">
      <c r="C859" s="90"/>
      <c r="D859" s="90"/>
      <c r="E859" s="90"/>
      <c r="F859" s="90"/>
      <c r="G859" s="90"/>
      <c r="H859" s="123"/>
      <c r="I859" s="123"/>
      <c r="J859" s="123"/>
      <c r="K859" s="123"/>
      <c r="L859" s="123"/>
      <c r="M859" s="123"/>
      <c r="N859" s="123"/>
      <c r="O859" s="123"/>
      <c r="P859" s="123"/>
      <c r="Q859" s="123"/>
      <c r="U859" s="124"/>
      <c r="W859" s="125"/>
      <c r="AJ859" s="126"/>
      <c r="AK859" s="126"/>
      <c r="AL859" s="122"/>
    </row>
    <row r="860">
      <c r="C860" s="90"/>
      <c r="D860" s="90"/>
      <c r="E860" s="90"/>
      <c r="F860" s="90"/>
      <c r="G860" s="90"/>
      <c r="H860" s="123"/>
      <c r="I860" s="123"/>
      <c r="J860" s="123"/>
      <c r="K860" s="123"/>
      <c r="L860" s="123"/>
      <c r="M860" s="123"/>
      <c r="N860" s="123"/>
      <c r="O860" s="123"/>
      <c r="P860" s="123"/>
      <c r="Q860" s="123"/>
      <c r="U860" s="124"/>
      <c r="W860" s="125"/>
      <c r="AJ860" s="126"/>
      <c r="AK860" s="126"/>
      <c r="AL860" s="122"/>
    </row>
    <row r="861">
      <c r="C861" s="90"/>
      <c r="D861" s="90"/>
      <c r="E861" s="90"/>
      <c r="F861" s="90"/>
      <c r="G861" s="90"/>
      <c r="H861" s="123"/>
      <c r="I861" s="123"/>
      <c r="J861" s="123"/>
      <c r="K861" s="123"/>
      <c r="L861" s="123"/>
      <c r="M861" s="123"/>
      <c r="N861" s="123"/>
      <c r="O861" s="123"/>
      <c r="P861" s="123"/>
      <c r="Q861" s="123"/>
      <c r="U861" s="124"/>
      <c r="W861" s="125"/>
      <c r="AJ861" s="126"/>
      <c r="AK861" s="126"/>
      <c r="AL861" s="122"/>
    </row>
    <row r="862">
      <c r="C862" s="90"/>
      <c r="D862" s="90"/>
      <c r="E862" s="90"/>
      <c r="F862" s="90"/>
      <c r="G862" s="90"/>
      <c r="H862" s="123"/>
      <c r="I862" s="123"/>
      <c r="J862" s="123"/>
      <c r="K862" s="123"/>
      <c r="L862" s="123"/>
      <c r="M862" s="123"/>
      <c r="N862" s="123"/>
      <c r="O862" s="123"/>
      <c r="P862" s="123"/>
      <c r="Q862" s="123"/>
      <c r="U862" s="124"/>
      <c r="W862" s="125"/>
      <c r="AJ862" s="126"/>
      <c r="AK862" s="126"/>
      <c r="AL862" s="122"/>
    </row>
    <row r="863">
      <c r="C863" s="90"/>
      <c r="D863" s="90"/>
      <c r="E863" s="90"/>
      <c r="F863" s="90"/>
      <c r="G863" s="90"/>
      <c r="H863" s="123"/>
      <c r="I863" s="123"/>
      <c r="J863" s="123"/>
      <c r="K863" s="123"/>
      <c r="L863" s="123"/>
      <c r="M863" s="123"/>
      <c r="N863" s="123"/>
      <c r="O863" s="123"/>
      <c r="P863" s="123"/>
      <c r="Q863" s="123"/>
      <c r="U863" s="124"/>
      <c r="W863" s="125"/>
      <c r="AJ863" s="126"/>
      <c r="AK863" s="126"/>
      <c r="AL863" s="122"/>
    </row>
    <row r="864">
      <c r="C864" s="90"/>
      <c r="D864" s="90"/>
      <c r="E864" s="90"/>
      <c r="F864" s="90"/>
      <c r="G864" s="90"/>
      <c r="H864" s="123"/>
      <c r="I864" s="123"/>
      <c r="J864" s="123"/>
      <c r="K864" s="123"/>
      <c r="L864" s="123"/>
      <c r="M864" s="123"/>
      <c r="N864" s="123"/>
      <c r="O864" s="123"/>
      <c r="P864" s="123"/>
      <c r="Q864" s="123"/>
      <c r="U864" s="124"/>
      <c r="W864" s="125"/>
      <c r="AJ864" s="126"/>
      <c r="AK864" s="126"/>
      <c r="AL864" s="122"/>
    </row>
    <row r="865">
      <c r="C865" s="90"/>
      <c r="D865" s="90"/>
      <c r="E865" s="90"/>
      <c r="F865" s="90"/>
      <c r="G865" s="90"/>
      <c r="H865" s="123"/>
      <c r="I865" s="123"/>
      <c r="J865" s="123"/>
      <c r="K865" s="123"/>
      <c r="L865" s="123"/>
      <c r="M865" s="123"/>
      <c r="N865" s="123"/>
      <c r="O865" s="123"/>
      <c r="P865" s="123"/>
      <c r="Q865" s="123"/>
      <c r="U865" s="124"/>
      <c r="W865" s="125"/>
      <c r="AJ865" s="126"/>
      <c r="AK865" s="126"/>
      <c r="AL865" s="122"/>
    </row>
    <row r="866">
      <c r="C866" s="90"/>
      <c r="D866" s="90"/>
      <c r="E866" s="90"/>
      <c r="F866" s="90"/>
      <c r="G866" s="90"/>
      <c r="H866" s="123"/>
      <c r="I866" s="123"/>
      <c r="J866" s="123"/>
      <c r="K866" s="123"/>
      <c r="L866" s="123"/>
      <c r="M866" s="123"/>
      <c r="N866" s="123"/>
      <c r="O866" s="123"/>
      <c r="P866" s="123"/>
      <c r="Q866" s="123"/>
      <c r="U866" s="124"/>
      <c r="W866" s="125"/>
      <c r="AJ866" s="126"/>
      <c r="AK866" s="126"/>
      <c r="AL866" s="122"/>
    </row>
    <row r="867">
      <c r="C867" s="90"/>
      <c r="D867" s="90"/>
      <c r="E867" s="90"/>
      <c r="F867" s="90"/>
      <c r="G867" s="90"/>
      <c r="H867" s="123"/>
      <c r="I867" s="123"/>
      <c r="J867" s="123"/>
      <c r="K867" s="123"/>
      <c r="L867" s="123"/>
      <c r="M867" s="123"/>
      <c r="N867" s="123"/>
      <c r="O867" s="123"/>
      <c r="P867" s="123"/>
      <c r="Q867" s="123"/>
      <c r="U867" s="124"/>
      <c r="W867" s="125"/>
      <c r="AJ867" s="126"/>
      <c r="AK867" s="126"/>
      <c r="AL867" s="122"/>
    </row>
    <row r="868">
      <c r="C868" s="90"/>
      <c r="D868" s="90"/>
      <c r="E868" s="90"/>
      <c r="F868" s="90"/>
      <c r="G868" s="90"/>
      <c r="H868" s="123"/>
      <c r="I868" s="123"/>
      <c r="J868" s="123"/>
      <c r="K868" s="123"/>
      <c r="L868" s="123"/>
      <c r="M868" s="123"/>
      <c r="N868" s="123"/>
      <c r="O868" s="123"/>
      <c r="P868" s="123"/>
      <c r="Q868" s="123"/>
      <c r="U868" s="124"/>
      <c r="W868" s="125"/>
      <c r="AJ868" s="126"/>
      <c r="AK868" s="126"/>
      <c r="AL868" s="122"/>
    </row>
    <row r="869">
      <c r="C869" s="90"/>
      <c r="D869" s="90"/>
      <c r="E869" s="90"/>
      <c r="F869" s="90"/>
      <c r="G869" s="90"/>
      <c r="H869" s="123"/>
      <c r="I869" s="123"/>
      <c r="J869" s="123"/>
      <c r="K869" s="123"/>
      <c r="L869" s="123"/>
      <c r="M869" s="123"/>
      <c r="N869" s="123"/>
      <c r="O869" s="123"/>
      <c r="P869" s="123"/>
      <c r="Q869" s="123"/>
      <c r="U869" s="124"/>
      <c r="W869" s="125"/>
      <c r="AJ869" s="126"/>
      <c r="AK869" s="126"/>
      <c r="AL869" s="122"/>
    </row>
    <row r="870">
      <c r="C870" s="90"/>
      <c r="D870" s="90"/>
      <c r="E870" s="90"/>
      <c r="F870" s="90"/>
      <c r="G870" s="90"/>
      <c r="H870" s="123"/>
      <c r="I870" s="123"/>
      <c r="J870" s="123"/>
      <c r="K870" s="123"/>
      <c r="L870" s="123"/>
      <c r="M870" s="123"/>
      <c r="N870" s="123"/>
      <c r="O870" s="123"/>
      <c r="P870" s="123"/>
      <c r="Q870" s="123"/>
      <c r="U870" s="124"/>
      <c r="W870" s="125"/>
      <c r="AJ870" s="126"/>
      <c r="AK870" s="126"/>
      <c r="AL870" s="122"/>
    </row>
    <row r="871">
      <c r="C871" s="90"/>
      <c r="D871" s="90"/>
      <c r="E871" s="90"/>
      <c r="F871" s="90"/>
      <c r="G871" s="90"/>
      <c r="H871" s="123"/>
      <c r="I871" s="123"/>
      <c r="J871" s="123"/>
      <c r="K871" s="123"/>
      <c r="L871" s="123"/>
      <c r="M871" s="123"/>
      <c r="N871" s="123"/>
      <c r="O871" s="123"/>
      <c r="P871" s="123"/>
      <c r="Q871" s="123"/>
      <c r="U871" s="124"/>
      <c r="W871" s="125"/>
      <c r="AJ871" s="126"/>
      <c r="AK871" s="126"/>
      <c r="AL871" s="122"/>
    </row>
    <row r="872">
      <c r="C872" s="90"/>
      <c r="D872" s="90"/>
      <c r="E872" s="90"/>
      <c r="F872" s="90"/>
      <c r="G872" s="90"/>
      <c r="H872" s="123"/>
      <c r="I872" s="123"/>
      <c r="J872" s="123"/>
      <c r="K872" s="123"/>
      <c r="L872" s="123"/>
      <c r="M872" s="123"/>
      <c r="N872" s="123"/>
      <c r="O872" s="123"/>
      <c r="P872" s="123"/>
      <c r="Q872" s="123"/>
      <c r="U872" s="124"/>
      <c r="W872" s="125"/>
      <c r="AJ872" s="126"/>
      <c r="AK872" s="126"/>
      <c r="AL872" s="122"/>
    </row>
    <row r="873">
      <c r="C873" s="90"/>
      <c r="D873" s="90"/>
      <c r="E873" s="90"/>
      <c r="F873" s="90"/>
      <c r="G873" s="90"/>
      <c r="H873" s="123"/>
      <c r="I873" s="123"/>
      <c r="J873" s="123"/>
      <c r="K873" s="123"/>
      <c r="L873" s="123"/>
      <c r="M873" s="123"/>
      <c r="N873" s="123"/>
      <c r="O873" s="123"/>
      <c r="P873" s="123"/>
      <c r="Q873" s="123"/>
      <c r="U873" s="124"/>
      <c r="W873" s="125"/>
      <c r="AJ873" s="126"/>
      <c r="AK873" s="126"/>
      <c r="AL873" s="122"/>
    </row>
    <row r="874">
      <c r="C874" s="90"/>
      <c r="D874" s="90"/>
      <c r="E874" s="90"/>
      <c r="F874" s="90"/>
      <c r="G874" s="90"/>
      <c r="H874" s="123"/>
      <c r="I874" s="123"/>
      <c r="J874" s="123"/>
      <c r="K874" s="123"/>
      <c r="L874" s="123"/>
      <c r="M874" s="123"/>
      <c r="N874" s="123"/>
      <c r="O874" s="123"/>
      <c r="P874" s="123"/>
      <c r="Q874" s="123"/>
      <c r="U874" s="124"/>
      <c r="W874" s="125"/>
      <c r="AJ874" s="126"/>
      <c r="AK874" s="126"/>
      <c r="AL874" s="122"/>
    </row>
    <row r="875">
      <c r="C875" s="90"/>
      <c r="D875" s="90"/>
      <c r="E875" s="90"/>
      <c r="F875" s="90"/>
      <c r="G875" s="90"/>
      <c r="H875" s="123"/>
      <c r="I875" s="123"/>
      <c r="J875" s="123"/>
      <c r="K875" s="123"/>
      <c r="L875" s="123"/>
      <c r="M875" s="123"/>
      <c r="N875" s="123"/>
      <c r="O875" s="123"/>
      <c r="P875" s="123"/>
      <c r="Q875" s="123"/>
      <c r="U875" s="124"/>
      <c r="W875" s="125"/>
      <c r="AJ875" s="126"/>
      <c r="AK875" s="126"/>
      <c r="AL875" s="122"/>
    </row>
    <row r="876">
      <c r="C876" s="90"/>
      <c r="D876" s="90"/>
      <c r="E876" s="90"/>
      <c r="F876" s="90"/>
      <c r="G876" s="90"/>
      <c r="H876" s="123"/>
      <c r="I876" s="123"/>
      <c r="J876" s="123"/>
      <c r="K876" s="123"/>
      <c r="L876" s="123"/>
      <c r="M876" s="123"/>
      <c r="N876" s="123"/>
      <c r="O876" s="123"/>
      <c r="P876" s="123"/>
      <c r="Q876" s="123"/>
      <c r="U876" s="124"/>
      <c r="W876" s="125"/>
      <c r="AJ876" s="126"/>
      <c r="AK876" s="126"/>
      <c r="AL876" s="122"/>
    </row>
    <row r="877">
      <c r="C877" s="90"/>
      <c r="D877" s="90"/>
      <c r="E877" s="90"/>
      <c r="F877" s="90"/>
      <c r="G877" s="90"/>
      <c r="H877" s="123"/>
      <c r="I877" s="123"/>
      <c r="J877" s="123"/>
      <c r="K877" s="123"/>
      <c r="L877" s="123"/>
      <c r="M877" s="123"/>
      <c r="N877" s="123"/>
      <c r="O877" s="123"/>
      <c r="P877" s="123"/>
      <c r="Q877" s="123"/>
      <c r="U877" s="124"/>
      <c r="W877" s="125"/>
      <c r="AJ877" s="126"/>
      <c r="AK877" s="126"/>
      <c r="AL877" s="122"/>
    </row>
    <row r="878">
      <c r="C878" s="90"/>
      <c r="D878" s="90"/>
      <c r="E878" s="90"/>
      <c r="F878" s="90"/>
      <c r="G878" s="90"/>
      <c r="H878" s="123"/>
      <c r="I878" s="123"/>
      <c r="J878" s="123"/>
      <c r="K878" s="123"/>
      <c r="L878" s="123"/>
      <c r="M878" s="123"/>
      <c r="N878" s="123"/>
      <c r="O878" s="123"/>
      <c r="P878" s="123"/>
      <c r="Q878" s="123"/>
      <c r="U878" s="124"/>
      <c r="W878" s="125"/>
      <c r="AJ878" s="126"/>
      <c r="AK878" s="126"/>
      <c r="AL878" s="122"/>
    </row>
    <row r="879">
      <c r="C879" s="90"/>
      <c r="D879" s="90"/>
      <c r="E879" s="90"/>
      <c r="F879" s="90"/>
      <c r="G879" s="90"/>
      <c r="H879" s="123"/>
      <c r="I879" s="123"/>
      <c r="J879" s="123"/>
      <c r="K879" s="123"/>
      <c r="L879" s="123"/>
      <c r="M879" s="123"/>
      <c r="N879" s="123"/>
      <c r="O879" s="123"/>
      <c r="P879" s="123"/>
      <c r="Q879" s="123"/>
      <c r="U879" s="124"/>
      <c r="W879" s="125"/>
      <c r="AJ879" s="126"/>
      <c r="AK879" s="126"/>
      <c r="AL879" s="122"/>
    </row>
    <row r="880">
      <c r="C880" s="90"/>
      <c r="D880" s="90"/>
      <c r="E880" s="90"/>
      <c r="F880" s="90"/>
      <c r="G880" s="90"/>
      <c r="H880" s="123"/>
      <c r="I880" s="123"/>
      <c r="J880" s="123"/>
      <c r="K880" s="123"/>
      <c r="L880" s="123"/>
      <c r="M880" s="123"/>
      <c r="N880" s="123"/>
      <c r="O880" s="123"/>
      <c r="P880" s="123"/>
      <c r="Q880" s="123"/>
      <c r="U880" s="124"/>
      <c r="W880" s="125"/>
      <c r="AJ880" s="126"/>
      <c r="AK880" s="126"/>
      <c r="AL880" s="122"/>
    </row>
    <row r="881">
      <c r="C881" s="90"/>
      <c r="D881" s="90"/>
      <c r="E881" s="90"/>
      <c r="F881" s="90"/>
      <c r="G881" s="90"/>
      <c r="H881" s="123"/>
      <c r="I881" s="123"/>
      <c r="J881" s="123"/>
      <c r="K881" s="123"/>
      <c r="L881" s="123"/>
      <c r="M881" s="123"/>
      <c r="N881" s="123"/>
      <c r="O881" s="123"/>
      <c r="P881" s="123"/>
      <c r="Q881" s="123"/>
      <c r="U881" s="124"/>
      <c r="W881" s="125"/>
      <c r="AJ881" s="126"/>
      <c r="AK881" s="126"/>
      <c r="AL881" s="122"/>
    </row>
    <row r="882">
      <c r="C882" s="90"/>
      <c r="D882" s="90"/>
      <c r="E882" s="90"/>
      <c r="F882" s="90"/>
      <c r="G882" s="90"/>
      <c r="H882" s="123"/>
      <c r="I882" s="123"/>
      <c r="J882" s="123"/>
      <c r="K882" s="123"/>
      <c r="L882" s="123"/>
      <c r="M882" s="123"/>
      <c r="N882" s="123"/>
      <c r="O882" s="123"/>
      <c r="P882" s="123"/>
      <c r="Q882" s="123"/>
      <c r="U882" s="124"/>
      <c r="W882" s="125"/>
      <c r="AJ882" s="126"/>
      <c r="AK882" s="126"/>
      <c r="AL882" s="122"/>
    </row>
    <row r="883">
      <c r="C883" s="90"/>
      <c r="D883" s="90"/>
      <c r="E883" s="90"/>
      <c r="F883" s="90"/>
      <c r="G883" s="90"/>
      <c r="H883" s="123"/>
      <c r="I883" s="123"/>
      <c r="J883" s="123"/>
      <c r="K883" s="123"/>
      <c r="L883" s="123"/>
      <c r="M883" s="123"/>
      <c r="N883" s="123"/>
      <c r="O883" s="123"/>
      <c r="P883" s="123"/>
      <c r="Q883" s="123"/>
      <c r="U883" s="124"/>
      <c r="W883" s="125"/>
      <c r="AJ883" s="126"/>
      <c r="AK883" s="126"/>
      <c r="AL883" s="122"/>
    </row>
    <row r="884">
      <c r="C884" s="90"/>
      <c r="D884" s="90"/>
      <c r="E884" s="90"/>
      <c r="F884" s="90"/>
      <c r="G884" s="90"/>
      <c r="H884" s="123"/>
      <c r="I884" s="123"/>
      <c r="J884" s="123"/>
      <c r="K884" s="123"/>
      <c r="L884" s="123"/>
      <c r="M884" s="123"/>
      <c r="N884" s="123"/>
      <c r="O884" s="123"/>
      <c r="P884" s="123"/>
      <c r="Q884" s="123"/>
      <c r="U884" s="124"/>
      <c r="W884" s="125"/>
      <c r="AJ884" s="126"/>
      <c r="AK884" s="126"/>
      <c r="AL884" s="122"/>
    </row>
    <row r="885">
      <c r="C885" s="90"/>
      <c r="D885" s="90"/>
      <c r="E885" s="90"/>
      <c r="F885" s="90"/>
      <c r="G885" s="90"/>
      <c r="H885" s="123"/>
      <c r="I885" s="123"/>
      <c r="J885" s="123"/>
      <c r="K885" s="123"/>
      <c r="L885" s="123"/>
      <c r="M885" s="123"/>
      <c r="N885" s="123"/>
      <c r="O885" s="123"/>
      <c r="P885" s="123"/>
      <c r="Q885" s="123"/>
      <c r="U885" s="124"/>
      <c r="W885" s="125"/>
      <c r="AJ885" s="126"/>
      <c r="AK885" s="126"/>
      <c r="AL885" s="122"/>
    </row>
    <row r="886">
      <c r="C886" s="90"/>
      <c r="D886" s="90"/>
      <c r="E886" s="90"/>
      <c r="F886" s="90"/>
      <c r="G886" s="90"/>
      <c r="H886" s="123"/>
      <c r="I886" s="123"/>
      <c r="J886" s="123"/>
      <c r="K886" s="123"/>
      <c r="L886" s="123"/>
      <c r="M886" s="123"/>
      <c r="N886" s="123"/>
      <c r="O886" s="123"/>
      <c r="P886" s="123"/>
      <c r="Q886" s="123"/>
      <c r="U886" s="124"/>
      <c r="W886" s="125"/>
      <c r="AJ886" s="126"/>
      <c r="AK886" s="126"/>
      <c r="AL886" s="122"/>
    </row>
    <row r="887">
      <c r="C887" s="90"/>
      <c r="D887" s="90"/>
      <c r="E887" s="90"/>
      <c r="F887" s="90"/>
      <c r="G887" s="90"/>
      <c r="H887" s="123"/>
      <c r="I887" s="123"/>
      <c r="J887" s="123"/>
      <c r="K887" s="123"/>
      <c r="L887" s="123"/>
      <c r="M887" s="123"/>
      <c r="N887" s="123"/>
      <c r="O887" s="123"/>
      <c r="P887" s="123"/>
      <c r="Q887" s="123"/>
      <c r="U887" s="124"/>
      <c r="W887" s="125"/>
      <c r="AJ887" s="126"/>
      <c r="AK887" s="126"/>
      <c r="AL887" s="122"/>
    </row>
    <row r="888">
      <c r="C888" s="90"/>
      <c r="D888" s="90"/>
      <c r="E888" s="90"/>
      <c r="F888" s="90"/>
      <c r="G888" s="90"/>
      <c r="H888" s="123"/>
      <c r="I888" s="123"/>
      <c r="J888" s="123"/>
      <c r="K888" s="123"/>
      <c r="L888" s="123"/>
      <c r="M888" s="123"/>
      <c r="N888" s="123"/>
      <c r="O888" s="123"/>
      <c r="P888" s="123"/>
      <c r="Q888" s="123"/>
      <c r="U888" s="124"/>
      <c r="W888" s="125"/>
      <c r="AJ888" s="126"/>
      <c r="AK888" s="126"/>
      <c r="AL888" s="122"/>
    </row>
    <row r="889">
      <c r="C889" s="90"/>
      <c r="D889" s="90"/>
      <c r="E889" s="90"/>
      <c r="F889" s="90"/>
      <c r="G889" s="90"/>
      <c r="H889" s="123"/>
      <c r="I889" s="123"/>
      <c r="J889" s="123"/>
      <c r="K889" s="123"/>
      <c r="L889" s="123"/>
      <c r="M889" s="123"/>
      <c r="N889" s="123"/>
      <c r="O889" s="123"/>
      <c r="P889" s="123"/>
      <c r="Q889" s="123"/>
      <c r="U889" s="124"/>
      <c r="W889" s="125"/>
      <c r="AJ889" s="126"/>
      <c r="AK889" s="126"/>
      <c r="AL889" s="122"/>
    </row>
    <row r="890">
      <c r="C890" s="90"/>
      <c r="D890" s="90"/>
      <c r="E890" s="90"/>
      <c r="F890" s="90"/>
      <c r="G890" s="90"/>
      <c r="H890" s="123"/>
      <c r="I890" s="123"/>
      <c r="J890" s="123"/>
      <c r="K890" s="123"/>
      <c r="L890" s="123"/>
      <c r="M890" s="123"/>
      <c r="N890" s="123"/>
      <c r="O890" s="123"/>
      <c r="P890" s="123"/>
      <c r="Q890" s="123"/>
      <c r="U890" s="124"/>
      <c r="W890" s="125"/>
      <c r="AJ890" s="126"/>
      <c r="AK890" s="126"/>
      <c r="AL890" s="122"/>
    </row>
    <row r="891">
      <c r="C891" s="90"/>
      <c r="D891" s="90"/>
      <c r="E891" s="90"/>
      <c r="F891" s="90"/>
      <c r="G891" s="90"/>
      <c r="H891" s="123"/>
      <c r="I891" s="123"/>
      <c r="J891" s="123"/>
      <c r="K891" s="123"/>
      <c r="L891" s="123"/>
      <c r="M891" s="123"/>
      <c r="N891" s="123"/>
      <c r="O891" s="123"/>
      <c r="P891" s="123"/>
      <c r="Q891" s="123"/>
      <c r="U891" s="124"/>
      <c r="W891" s="125"/>
      <c r="AJ891" s="126"/>
      <c r="AK891" s="126"/>
      <c r="AL891" s="122"/>
    </row>
    <row r="892">
      <c r="C892" s="90"/>
      <c r="D892" s="90"/>
      <c r="E892" s="90"/>
      <c r="F892" s="90"/>
      <c r="G892" s="90"/>
      <c r="H892" s="123"/>
      <c r="I892" s="123"/>
      <c r="J892" s="123"/>
      <c r="K892" s="123"/>
      <c r="L892" s="123"/>
      <c r="M892" s="123"/>
      <c r="N892" s="123"/>
      <c r="O892" s="123"/>
      <c r="P892" s="123"/>
      <c r="Q892" s="123"/>
      <c r="U892" s="124"/>
      <c r="W892" s="125"/>
      <c r="AJ892" s="126"/>
      <c r="AK892" s="126"/>
      <c r="AL892" s="122"/>
    </row>
    <row r="893">
      <c r="C893" s="90"/>
      <c r="D893" s="90"/>
      <c r="E893" s="90"/>
      <c r="F893" s="90"/>
      <c r="G893" s="90"/>
      <c r="H893" s="123"/>
      <c r="I893" s="123"/>
      <c r="J893" s="123"/>
      <c r="K893" s="123"/>
      <c r="L893" s="123"/>
      <c r="M893" s="123"/>
      <c r="N893" s="123"/>
      <c r="O893" s="123"/>
      <c r="P893" s="123"/>
      <c r="Q893" s="123"/>
      <c r="U893" s="124"/>
      <c r="W893" s="125"/>
      <c r="AJ893" s="126"/>
      <c r="AK893" s="126"/>
      <c r="AL893" s="122"/>
    </row>
    <row r="894">
      <c r="C894" s="90"/>
      <c r="D894" s="90"/>
      <c r="E894" s="90"/>
      <c r="F894" s="90"/>
      <c r="G894" s="90"/>
      <c r="H894" s="123"/>
      <c r="I894" s="123"/>
      <c r="J894" s="123"/>
      <c r="K894" s="123"/>
      <c r="L894" s="123"/>
      <c r="M894" s="123"/>
      <c r="N894" s="123"/>
      <c r="O894" s="123"/>
      <c r="P894" s="123"/>
      <c r="Q894" s="123"/>
      <c r="U894" s="124"/>
      <c r="W894" s="125"/>
      <c r="AJ894" s="126"/>
      <c r="AK894" s="126"/>
      <c r="AL894" s="122"/>
    </row>
    <row r="895">
      <c r="C895" s="90"/>
      <c r="D895" s="90"/>
      <c r="E895" s="90"/>
      <c r="F895" s="90"/>
      <c r="G895" s="90"/>
      <c r="H895" s="123"/>
      <c r="I895" s="123"/>
      <c r="J895" s="123"/>
      <c r="K895" s="123"/>
      <c r="L895" s="123"/>
      <c r="M895" s="123"/>
      <c r="N895" s="123"/>
      <c r="O895" s="123"/>
      <c r="P895" s="123"/>
      <c r="Q895" s="123"/>
      <c r="U895" s="124"/>
      <c r="W895" s="125"/>
      <c r="AJ895" s="126"/>
      <c r="AK895" s="126"/>
      <c r="AL895" s="122"/>
    </row>
    <row r="896">
      <c r="C896" s="90"/>
      <c r="D896" s="90"/>
      <c r="E896" s="90"/>
      <c r="F896" s="90"/>
      <c r="G896" s="90"/>
      <c r="H896" s="123"/>
      <c r="I896" s="123"/>
      <c r="J896" s="123"/>
      <c r="K896" s="123"/>
      <c r="L896" s="123"/>
      <c r="M896" s="123"/>
      <c r="N896" s="123"/>
      <c r="O896" s="123"/>
      <c r="P896" s="123"/>
      <c r="Q896" s="123"/>
      <c r="U896" s="124"/>
      <c r="W896" s="125"/>
      <c r="AJ896" s="126"/>
      <c r="AK896" s="126"/>
      <c r="AL896" s="122"/>
    </row>
    <row r="897">
      <c r="C897" s="90"/>
      <c r="D897" s="90"/>
      <c r="E897" s="90"/>
      <c r="F897" s="90"/>
      <c r="G897" s="90"/>
      <c r="H897" s="123"/>
      <c r="I897" s="123"/>
      <c r="J897" s="123"/>
      <c r="K897" s="123"/>
      <c r="L897" s="123"/>
      <c r="M897" s="123"/>
      <c r="N897" s="123"/>
      <c r="O897" s="123"/>
      <c r="P897" s="123"/>
      <c r="Q897" s="123"/>
      <c r="U897" s="124"/>
      <c r="W897" s="125"/>
      <c r="AJ897" s="126"/>
      <c r="AK897" s="126"/>
      <c r="AL897" s="122"/>
    </row>
    <row r="898">
      <c r="C898" s="90"/>
      <c r="D898" s="90"/>
      <c r="E898" s="90"/>
      <c r="F898" s="90"/>
      <c r="G898" s="90"/>
      <c r="H898" s="123"/>
      <c r="I898" s="123"/>
      <c r="J898" s="123"/>
      <c r="K898" s="123"/>
      <c r="L898" s="123"/>
      <c r="M898" s="123"/>
      <c r="N898" s="123"/>
      <c r="O898" s="123"/>
      <c r="P898" s="123"/>
      <c r="Q898" s="123"/>
      <c r="U898" s="124"/>
      <c r="W898" s="125"/>
      <c r="AJ898" s="126"/>
      <c r="AK898" s="126"/>
      <c r="AL898" s="122"/>
    </row>
    <row r="899">
      <c r="C899" s="90"/>
      <c r="D899" s="90"/>
      <c r="E899" s="90"/>
      <c r="F899" s="90"/>
      <c r="G899" s="90"/>
      <c r="H899" s="123"/>
      <c r="I899" s="123"/>
      <c r="J899" s="123"/>
      <c r="K899" s="123"/>
      <c r="L899" s="123"/>
      <c r="M899" s="123"/>
      <c r="N899" s="123"/>
      <c r="O899" s="123"/>
      <c r="P899" s="123"/>
      <c r="Q899" s="123"/>
      <c r="U899" s="124"/>
      <c r="W899" s="125"/>
      <c r="AJ899" s="126"/>
      <c r="AK899" s="126"/>
      <c r="AL899" s="122"/>
    </row>
    <row r="900">
      <c r="C900" s="90"/>
      <c r="D900" s="90"/>
      <c r="E900" s="90"/>
      <c r="F900" s="90"/>
      <c r="G900" s="90"/>
      <c r="H900" s="123"/>
      <c r="I900" s="123"/>
      <c r="J900" s="123"/>
      <c r="K900" s="123"/>
      <c r="L900" s="123"/>
      <c r="M900" s="123"/>
      <c r="N900" s="123"/>
      <c r="O900" s="123"/>
      <c r="P900" s="123"/>
      <c r="Q900" s="123"/>
      <c r="U900" s="124"/>
      <c r="W900" s="125"/>
      <c r="AJ900" s="126"/>
      <c r="AK900" s="126"/>
      <c r="AL900" s="122"/>
    </row>
    <row r="901">
      <c r="C901" s="90"/>
      <c r="D901" s="90"/>
      <c r="E901" s="90"/>
      <c r="F901" s="90"/>
      <c r="G901" s="90"/>
      <c r="H901" s="123"/>
      <c r="I901" s="123"/>
      <c r="J901" s="123"/>
      <c r="K901" s="123"/>
      <c r="L901" s="123"/>
      <c r="M901" s="123"/>
      <c r="N901" s="123"/>
      <c r="O901" s="123"/>
      <c r="P901" s="123"/>
      <c r="Q901" s="123"/>
      <c r="U901" s="124"/>
      <c r="W901" s="125"/>
      <c r="AJ901" s="126"/>
      <c r="AK901" s="126"/>
      <c r="AL901" s="122"/>
    </row>
    <row r="902">
      <c r="C902" s="90"/>
      <c r="D902" s="90"/>
      <c r="E902" s="90"/>
      <c r="F902" s="90"/>
      <c r="G902" s="90"/>
      <c r="H902" s="123"/>
      <c r="I902" s="123"/>
      <c r="J902" s="123"/>
      <c r="K902" s="123"/>
      <c r="L902" s="123"/>
      <c r="M902" s="123"/>
      <c r="N902" s="123"/>
      <c r="O902" s="123"/>
      <c r="P902" s="123"/>
      <c r="Q902" s="123"/>
      <c r="U902" s="124"/>
      <c r="W902" s="125"/>
      <c r="AJ902" s="126"/>
      <c r="AK902" s="126"/>
      <c r="AL902" s="122"/>
    </row>
    <row r="903">
      <c r="C903" s="90"/>
      <c r="D903" s="90"/>
      <c r="E903" s="90"/>
      <c r="F903" s="90"/>
      <c r="G903" s="90"/>
      <c r="H903" s="123"/>
      <c r="I903" s="123"/>
      <c r="J903" s="123"/>
      <c r="K903" s="123"/>
      <c r="L903" s="123"/>
      <c r="M903" s="123"/>
      <c r="N903" s="123"/>
      <c r="O903" s="123"/>
      <c r="P903" s="123"/>
      <c r="Q903" s="123"/>
      <c r="U903" s="124"/>
      <c r="W903" s="125"/>
      <c r="AJ903" s="126"/>
      <c r="AK903" s="126"/>
      <c r="AL903" s="122"/>
    </row>
    <row r="904">
      <c r="C904" s="90"/>
      <c r="D904" s="90"/>
      <c r="E904" s="90"/>
      <c r="F904" s="90"/>
      <c r="G904" s="90"/>
      <c r="H904" s="123"/>
      <c r="I904" s="123"/>
      <c r="J904" s="123"/>
      <c r="K904" s="123"/>
      <c r="L904" s="123"/>
      <c r="M904" s="123"/>
      <c r="N904" s="123"/>
      <c r="O904" s="123"/>
      <c r="P904" s="123"/>
      <c r="Q904" s="123"/>
      <c r="U904" s="124"/>
      <c r="W904" s="125"/>
      <c r="AJ904" s="126"/>
      <c r="AK904" s="126"/>
      <c r="AL904" s="122"/>
    </row>
    <row r="905">
      <c r="C905" s="90"/>
      <c r="D905" s="90"/>
      <c r="E905" s="90"/>
      <c r="F905" s="90"/>
      <c r="G905" s="90"/>
      <c r="H905" s="123"/>
      <c r="I905" s="123"/>
      <c r="J905" s="123"/>
      <c r="K905" s="123"/>
      <c r="L905" s="123"/>
      <c r="M905" s="123"/>
      <c r="N905" s="123"/>
      <c r="O905" s="123"/>
      <c r="P905" s="123"/>
      <c r="Q905" s="123"/>
      <c r="U905" s="124"/>
      <c r="W905" s="125"/>
      <c r="AJ905" s="126"/>
      <c r="AK905" s="126"/>
      <c r="AL905" s="122"/>
    </row>
    <row r="906">
      <c r="C906" s="90"/>
      <c r="D906" s="90"/>
      <c r="E906" s="90"/>
      <c r="F906" s="90"/>
      <c r="G906" s="90"/>
      <c r="H906" s="123"/>
      <c r="I906" s="123"/>
      <c r="J906" s="123"/>
      <c r="K906" s="123"/>
      <c r="L906" s="123"/>
      <c r="M906" s="123"/>
      <c r="N906" s="123"/>
      <c r="O906" s="123"/>
      <c r="P906" s="123"/>
      <c r="Q906" s="123"/>
      <c r="U906" s="124"/>
      <c r="W906" s="125"/>
      <c r="AJ906" s="126"/>
      <c r="AK906" s="126"/>
      <c r="AL906" s="122"/>
    </row>
    <row r="907">
      <c r="C907" s="90"/>
      <c r="D907" s="90"/>
      <c r="E907" s="90"/>
      <c r="F907" s="90"/>
      <c r="G907" s="90"/>
      <c r="H907" s="123"/>
      <c r="I907" s="123"/>
      <c r="J907" s="123"/>
      <c r="K907" s="123"/>
      <c r="L907" s="123"/>
      <c r="M907" s="123"/>
      <c r="N907" s="123"/>
      <c r="O907" s="123"/>
      <c r="P907" s="123"/>
      <c r="Q907" s="123"/>
      <c r="U907" s="124"/>
      <c r="W907" s="125"/>
      <c r="AJ907" s="126"/>
      <c r="AK907" s="126"/>
      <c r="AL907" s="122"/>
    </row>
    <row r="908">
      <c r="C908" s="90"/>
      <c r="D908" s="90"/>
      <c r="E908" s="90"/>
      <c r="F908" s="90"/>
      <c r="G908" s="90"/>
      <c r="H908" s="123"/>
      <c r="I908" s="123"/>
      <c r="J908" s="123"/>
      <c r="K908" s="123"/>
      <c r="L908" s="123"/>
      <c r="M908" s="123"/>
      <c r="N908" s="123"/>
      <c r="O908" s="123"/>
      <c r="P908" s="123"/>
      <c r="Q908" s="123"/>
      <c r="U908" s="124"/>
      <c r="W908" s="125"/>
      <c r="AJ908" s="126"/>
      <c r="AK908" s="126"/>
      <c r="AL908" s="122"/>
    </row>
    <row r="909">
      <c r="C909" s="90"/>
      <c r="D909" s="90"/>
      <c r="E909" s="90"/>
      <c r="F909" s="90"/>
      <c r="G909" s="90"/>
      <c r="H909" s="123"/>
      <c r="I909" s="123"/>
      <c r="J909" s="123"/>
      <c r="K909" s="123"/>
      <c r="L909" s="123"/>
      <c r="M909" s="123"/>
      <c r="N909" s="123"/>
      <c r="O909" s="123"/>
      <c r="P909" s="123"/>
      <c r="Q909" s="123"/>
      <c r="U909" s="124"/>
      <c r="W909" s="125"/>
      <c r="AJ909" s="126"/>
      <c r="AK909" s="126"/>
      <c r="AL909" s="122"/>
    </row>
    <row r="910">
      <c r="C910" s="90"/>
      <c r="D910" s="90"/>
      <c r="E910" s="90"/>
      <c r="F910" s="90"/>
      <c r="G910" s="90"/>
      <c r="H910" s="123"/>
      <c r="I910" s="123"/>
      <c r="J910" s="123"/>
      <c r="K910" s="123"/>
      <c r="L910" s="123"/>
      <c r="M910" s="123"/>
      <c r="N910" s="123"/>
      <c r="O910" s="123"/>
      <c r="P910" s="123"/>
      <c r="Q910" s="123"/>
      <c r="U910" s="124"/>
      <c r="W910" s="125"/>
      <c r="AJ910" s="126"/>
      <c r="AK910" s="126"/>
      <c r="AL910" s="122"/>
    </row>
    <row r="911">
      <c r="C911" s="90"/>
      <c r="D911" s="90"/>
      <c r="E911" s="90"/>
      <c r="F911" s="90"/>
      <c r="G911" s="90"/>
      <c r="H911" s="123"/>
      <c r="I911" s="123"/>
      <c r="J911" s="123"/>
      <c r="K911" s="123"/>
      <c r="L911" s="123"/>
      <c r="M911" s="123"/>
      <c r="N911" s="123"/>
      <c r="O911" s="123"/>
      <c r="P911" s="123"/>
      <c r="Q911" s="123"/>
      <c r="U911" s="124"/>
      <c r="W911" s="125"/>
      <c r="AJ911" s="126"/>
      <c r="AK911" s="126"/>
      <c r="AL911" s="122"/>
    </row>
    <row r="912">
      <c r="C912" s="90"/>
      <c r="D912" s="90"/>
      <c r="E912" s="90"/>
      <c r="F912" s="90"/>
      <c r="G912" s="90"/>
      <c r="H912" s="123"/>
      <c r="I912" s="123"/>
      <c r="J912" s="123"/>
      <c r="K912" s="123"/>
      <c r="L912" s="123"/>
      <c r="M912" s="123"/>
      <c r="N912" s="123"/>
      <c r="O912" s="123"/>
      <c r="P912" s="123"/>
      <c r="Q912" s="123"/>
      <c r="U912" s="124"/>
      <c r="W912" s="125"/>
      <c r="AJ912" s="126"/>
      <c r="AK912" s="126"/>
      <c r="AL912" s="122"/>
    </row>
    <row r="913">
      <c r="C913" s="90"/>
      <c r="D913" s="90"/>
      <c r="E913" s="90"/>
      <c r="F913" s="90"/>
      <c r="G913" s="90"/>
      <c r="H913" s="123"/>
      <c r="I913" s="123"/>
      <c r="J913" s="123"/>
      <c r="K913" s="123"/>
      <c r="L913" s="123"/>
      <c r="M913" s="123"/>
      <c r="N913" s="123"/>
      <c r="O913" s="123"/>
      <c r="P913" s="123"/>
      <c r="Q913" s="123"/>
      <c r="U913" s="124"/>
      <c r="W913" s="125"/>
      <c r="AJ913" s="126"/>
      <c r="AK913" s="126"/>
      <c r="AL913" s="122"/>
    </row>
    <row r="914">
      <c r="C914" s="90"/>
      <c r="D914" s="90"/>
      <c r="E914" s="90"/>
      <c r="F914" s="90"/>
      <c r="G914" s="90"/>
      <c r="H914" s="123"/>
      <c r="I914" s="123"/>
      <c r="J914" s="123"/>
      <c r="K914" s="123"/>
      <c r="L914" s="123"/>
      <c r="M914" s="123"/>
      <c r="N914" s="123"/>
      <c r="O914" s="123"/>
      <c r="P914" s="123"/>
      <c r="Q914" s="123"/>
      <c r="U914" s="124"/>
      <c r="W914" s="125"/>
      <c r="AJ914" s="126"/>
      <c r="AK914" s="126"/>
      <c r="AL914" s="122"/>
    </row>
    <row r="915">
      <c r="C915" s="90"/>
      <c r="D915" s="90"/>
      <c r="E915" s="90"/>
      <c r="F915" s="90"/>
      <c r="G915" s="90"/>
      <c r="H915" s="123"/>
      <c r="I915" s="123"/>
      <c r="J915" s="123"/>
      <c r="K915" s="123"/>
      <c r="L915" s="123"/>
      <c r="M915" s="123"/>
      <c r="N915" s="123"/>
      <c r="O915" s="123"/>
      <c r="P915" s="123"/>
      <c r="Q915" s="123"/>
      <c r="U915" s="124"/>
      <c r="W915" s="125"/>
      <c r="AJ915" s="126"/>
      <c r="AK915" s="126"/>
      <c r="AL915" s="122"/>
    </row>
    <row r="916">
      <c r="C916" s="90"/>
      <c r="D916" s="90"/>
      <c r="E916" s="90"/>
      <c r="F916" s="90"/>
      <c r="G916" s="90"/>
      <c r="H916" s="123"/>
      <c r="I916" s="123"/>
      <c r="J916" s="123"/>
      <c r="K916" s="123"/>
      <c r="L916" s="123"/>
      <c r="M916" s="123"/>
      <c r="N916" s="123"/>
      <c r="O916" s="123"/>
      <c r="P916" s="123"/>
      <c r="Q916" s="123"/>
      <c r="U916" s="124"/>
      <c r="W916" s="125"/>
      <c r="AJ916" s="126"/>
      <c r="AK916" s="126"/>
      <c r="AL916" s="122"/>
    </row>
    <row r="917">
      <c r="C917" s="90"/>
      <c r="D917" s="90"/>
      <c r="E917" s="90"/>
      <c r="F917" s="90"/>
      <c r="G917" s="90"/>
      <c r="H917" s="123"/>
      <c r="I917" s="123"/>
      <c r="J917" s="123"/>
      <c r="K917" s="123"/>
      <c r="L917" s="123"/>
      <c r="M917" s="123"/>
      <c r="N917" s="123"/>
      <c r="O917" s="123"/>
      <c r="P917" s="123"/>
      <c r="Q917" s="123"/>
      <c r="U917" s="124"/>
      <c r="W917" s="125"/>
      <c r="AJ917" s="126"/>
      <c r="AK917" s="126"/>
      <c r="AL917" s="122"/>
    </row>
    <row r="918">
      <c r="C918" s="90"/>
      <c r="D918" s="90"/>
      <c r="E918" s="90"/>
      <c r="F918" s="90"/>
      <c r="G918" s="90"/>
      <c r="H918" s="123"/>
      <c r="I918" s="123"/>
      <c r="J918" s="123"/>
      <c r="K918" s="123"/>
      <c r="L918" s="123"/>
      <c r="M918" s="123"/>
      <c r="N918" s="123"/>
      <c r="O918" s="123"/>
      <c r="P918" s="123"/>
      <c r="Q918" s="123"/>
      <c r="U918" s="124"/>
      <c r="W918" s="125"/>
      <c r="AJ918" s="126"/>
      <c r="AK918" s="126"/>
      <c r="AL918" s="122"/>
    </row>
    <row r="919">
      <c r="C919" s="90"/>
      <c r="D919" s="90"/>
      <c r="E919" s="90"/>
      <c r="F919" s="90"/>
      <c r="G919" s="90"/>
      <c r="H919" s="123"/>
      <c r="I919" s="123"/>
      <c r="J919" s="123"/>
      <c r="K919" s="123"/>
      <c r="L919" s="123"/>
      <c r="M919" s="123"/>
      <c r="N919" s="123"/>
      <c r="O919" s="123"/>
      <c r="P919" s="123"/>
      <c r="Q919" s="123"/>
      <c r="U919" s="124"/>
      <c r="W919" s="125"/>
      <c r="AJ919" s="126"/>
      <c r="AK919" s="126"/>
      <c r="AL919" s="122"/>
    </row>
    <row r="920">
      <c r="C920" s="90"/>
      <c r="D920" s="90"/>
      <c r="E920" s="90"/>
      <c r="F920" s="90"/>
      <c r="G920" s="90"/>
      <c r="H920" s="123"/>
      <c r="I920" s="123"/>
      <c r="J920" s="123"/>
      <c r="K920" s="123"/>
      <c r="L920" s="123"/>
      <c r="M920" s="123"/>
      <c r="N920" s="123"/>
      <c r="O920" s="123"/>
      <c r="P920" s="123"/>
      <c r="Q920" s="123"/>
      <c r="U920" s="124"/>
      <c r="W920" s="125"/>
      <c r="AJ920" s="126"/>
      <c r="AK920" s="126"/>
      <c r="AL920" s="122"/>
    </row>
    <row r="921">
      <c r="C921" s="90"/>
      <c r="D921" s="90"/>
      <c r="E921" s="90"/>
      <c r="F921" s="90"/>
      <c r="G921" s="90"/>
      <c r="H921" s="123"/>
      <c r="I921" s="123"/>
      <c r="J921" s="123"/>
      <c r="K921" s="123"/>
      <c r="L921" s="123"/>
      <c r="M921" s="123"/>
      <c r="N921" s="123"/>
      <c r="O921" s="123"/>
      <c r="P921" s="123"/>
      <c r="Q921" s="123"/>
      <c r="U921" s="124"/>
      <c r="W921" s="125"/>
      <c r="AJ921" s="126"/>
      <c r="AK921" s="126"/>
      <c r="AL921" s="122"/>
    </row>
    <row r="922">
      <c r="C922" s="90"/>
      <c r="D922" s="90"/>
      <c r="E922" s="90"/>
      <c r="F922" s="90"/>
      <c r="G922" s="90"/>
      <c r="H922" s="123"/>
      <c r="I922" s="123"/>
      <c r="J922" s="123"/>
      <c r="K922" s="123"/>
      <c r="L922" s="123"/>
      <c r="M922" s="123"/>
      <c r="N922" s="123"/>
      <c r="O922" s="123"/>
      <c r="P922" s="123"/>
      <c r="Q922" s="123"/>
      <c r="U922" s="124"/>
      <c r="W922" s="125"/>
      <c r="AJ922" s="126"/>
      <c r="AK922" s="126"/>
      <c r="AL922" s="122"/>
    </row>
    <row r="923">
      <c r="C923" s="90"/>
      <c r="D923" s="90"/>
      <c r="E923" s="90"/>
      <c r="F923" s="90"/>
      <c r="G923" s="90"/>
      <c r="H923" s="123"/>
      <c r="I923" s="123"/>
      <c r="J923" s="123"/>
      <c r="K923" s="123"/>
      <c r="L923" s="123"/>
      <c r="M923" s="123"/>
      <c r="N923" s="123"/>
      <c r="O923" s="123"/>
      <c r="P923" s="123"/>
      <c r="Q923" s="123"/>
      <c r="U923" s="124"/>
      <c r="W923" s="125"/>
      <c r="AJ923" s="126"/>
      <c r="AK923" s="126"/>
      <c r="AL923" s="122"/>
    </row>
    <row r="924">
      <c r="C924" s="90"/>
      <c r="D924" s="90"/>
      <c r="E924" s="90"/>
      <c r="F924" s="90"/>
      <c r="G924" s="90"/>
      <c r="H924" s="123"/>
      <c r="I924" s="123"/>
      <c r="J924" s="123"/>
      <c r="K924" s="123"/>
      <c r="L924" s="123"/>
      <c r="M924" s="123"/>
      <c r="N924" s="123"/>
      <c r="O924" s="123"/>
      <c r="P924" s="123"/>
      <c r="Q924" s="123"/>
      <c r="U924" s="124"/>
      <c r="W924" s="125"/>
      <c r="AJ924" s="126"/>
      <c r="AK924" s="126"/>
      <c r="AL924" s="122"/>
    </row>
    <row r="925">
      <c r="C925" s="90"/>
      <c r="D925" s="90"/>
      <c r="E925" s="90"/>
      <c r="F925" s="90"/>
      <c r="G925" s="90"/>
      <c r="H925" s="123"/>
      <c r="I925" s="123"/>
      <c r="J925" s="123"/>
      <c r="K925" s="123"/>
      <c r="L925" s="123"/>
      <c r="M925" s="123"/>
      <c r="N925" s="123"/>
      <c r="O925" s="123"/>
      <c r="P925" s="123"/>
      <c r="Q925" s="123"/>
      <c r="U925" s="124"/>
      <c r="W925" s="125"/>
      <c r="AJ925" s="126"/>
      <c r="AK925" s="126"/>
      <c r="AL925" s="122"/>
    </row>
    <row r="926">
      <c r="C926" s="90"/>
      <c r="D926" s="90"/>
      <c r="E926" s="90"/>
      <c r="F926" s="90"/>
      <c r="G926" s="90"/>
      <c r="H926" s="123"/>
      <c r="I926" s="123"/>
      <c r="J926" s="123"/>
      <c r="K926" s="123"/>
      <c r="L926" s="123"/>
      <c r="M926" s="123"/>
      <c r="N926" s="123"/>
      <c r="O926" s="123"/>
      <c r="P926" s="123"/>
      <c r="Q926" s="123"/>
      <c r="U926" s="124"/>
      <c r="W926" s="125"/>
      <c r="AJ926" s="126"/>
      <c r="AK926" s="126"/>
      <c r="AL926" s="122"/>
    </row>
    <row r="927">
      <c r="C927" s="90"/>
      <c r="D927" s="90"/>
      <c r="E927" s="90"/>
      <c r="F927" s="90"/>
      <c r="G927" s="90"/>
      <c r="H927" s="123"/>
      <c r="I927" s="123"/>
      <c r="J927" s="123"/>
      <c r="K927" s="123"/>
      <c r="L927" s="123"/>
      <c r="M927" s="123"/>
      <c r="N927" s="123"/>
      <c r="O927" s="123"/>
      <c r="P927" s="123"/>
      <c r="Q927" s="123"/>
      <c r="U927" s="124"/>
      <c r="W927" s="125"/>
      <c r="AJ927" s="126"/>
      <c r="AK927" s="126"/>
      <c r="AL927" s="122"/>
    </row>
    <row r="928">
      <c r="C928" s="90"/>
      <c r="D928" s="90"/>
      <c r="E928" s="90"/>
      <c r="F928" s="90"/>
      <c r="G928" s="90"/>
      <c r="H928" s="123"/>
      <c r="I928" s="123"/>
      <c r="J928" s="123"/>
      <c r="K928" s="123"/>
      <c r="L928" s="123"/>
      <c r="M928" s="123"/>
      <c r="N928" s="123"/>
      <c r="O928" s="123"/>
      <c r="P928" s="123"/>
      <c r="Q928" s="123"/>
      <c r="U928" s="124"/>
      <c r="W928" s="125"/>
      <c r="AJ928" s="126"/>
      <c r="AK928" s="126"/>
      <c r="AL928" s="122"/>
    </row>
    <row r="929">
      <c r="C929" s="90"/>
      <c r="D929" s="90"/>
      <c r="E929" s="90"/>
      <c r="F929" s="90"/>
      <c r="G929" s="90"/>
      <c r="H929" s="123"/>
      <c r="I929" s="123"/>
      <c r="J929" s="123"/>
      <c r="K929" s="123"/>
      <c r="L929" s="123"/>
      <c r="M929" s="123"/>
      <c r="N929" s="123"/>
      <c r="O929" s="123"/>
      <c r="P929" s="123"/>
      <c r="Q929" s="123"/>
      <c r="U929" s="124"/>
      <c r="W929" s="125"/>
      <c r="AJ929" s="126"/>
      <c r="AK929" s="126"/>
      <c r="AL929" s="122"/>
    </row>
    <row r="930">
      <c r="C930" s="90"/>
      <c r="D930" s="90"/>
      <c r="E930" s="90"/>
      <c r="F930" s="90"/>
      <c r="G930" s="90"/>
      <c r="H930" s="123"/>
      <c r="I930" s="123"/>
      <c r="J930" s="123"/>
      <c r="K930" s="123"/>
      <c r="L930" s="123"/>
      <c r="M930" s="123"/>
      <c r="N930" s="123"/>
      <c r="O930" s="123"/>
      <c r="P930" s="123"/>
      <c r="Q930" s="123"/>
      <c r="U930" s="124"/>
      <c r="W930" s="125"/>
      <c r="AJ930" s="126"/>
      <c r="AK930" s="126"/>
      <c r="AL930" s="122"/>
    </row>
    <row r="931">
      <c r="C931" s="90"/>
      <c r="D931" s="90"/>
      <c r="E931" s="90"/>
      <c r="F931" s="90"/>
      <c r="G931" s="90"/>
      <c r="H931" s="123"/>
      <c r="I931" s="123"/>
      <c r="J931" s="123"/>
      <c r="K931" s="123"/>
      <c r="L931" s="123"/>
      <c r="M931" s="123"/>
      <c r="N931" s="123"/>
      <c r="O931" s="123"/>
      <c r="P931" s="123"/>
      <c r="Q931" s="123"/>
      <c r="U931" s="124"/>
      <c r="W931" s="125"/>
      <c r="AJ931" s="126"/>
      <c r="AK931" s="126"/>
      <c r="AL931" s="122"/>
    </row>
    <row r="932">
      <c r="C932" s="90"/>
      <c r="D932" s="90"/>
      <c r="E932" s="90"/>
      <c r="F932" s="90"/>
      <c r="G932" s="90"/>
      <c r="H932" s="123"/>
      <c r="I932" s="123"/>
      <c r="J932" s="123"/>
      <c r="K932" s="123"/>
      <c r="L932" s="123"/>
      <c r="M932" s="123"/>
      <c r="N932" s="123"/>
      <c r="O932" s="123"/>
      <c r="P932" s="123"/>
      <c r="Q932" s="123"/>
      <c r="U932" s="124"/>
      <c r="W932" s="125"/>
      <c r="AJ932" s="126"/>
      <c r="AK932" s="126"/>
      <c r="AL932" s="122"/>
    </row>
    <row r="933">
      <c r="C933" s="90"/>
      <c r="D933" s="90"/>
      <c r="E933" s="90"/>
      <c r="F933" s="90"/>
      <c r="G933" s="90"/>
      <c r="H933" s="123"/>
      <c r="I933" s="123"/>
      <c r="J933" s="123"/>
      <c r="K933" s="123"/>
      <c r="L933" s="123"/>
      <c r="M933" s="123"/>
      <c r="N933" s="123"/>
      <c r="O933" s="123"/>
      <c r="P933" s="123"/>
      <c r="Q933" s="123"/>
      <c r="U933" s="124"/>
      <c r="W933" s="125"/>
      <c r="AJ933" s="126"/>
      <c r="AK933" s="126"/>
      <c r="AL933" s="122"/>
    </row>
    <row r="934">
      <c r="C934" s="90"/>
      <c r="D934" s="90"/>
      <c r="E934" s="90"/>
      <c r="F934" s="90"/>
      <c r="G934" s="90"/>
      <c r="H934" s="123"/>
      <c r="I934" s="123"/>
      <c r="J934" s="123"/>
      <c r="K934" s="123"/>
      <c r="L934" s="123"/>
      <c r="M934" s="123"/>
      <c r="N934" s="123"/>
      <c r="O934" s="123"/>
      <c r="P934" s="123"/>
      <c r="Q934" s="123"/>
      <c r="U934" s="124"/>
      <c r="W934" s="125"/>
      <c r="AJ934" s="126"/>
      <c r="AK934" s="126"/>
      <c r="AL934" s="122"/>
    </row>
    <row r="935">
      <c r="C935" s="90"/>
      <c r="D935" s="90"/>
      <c r="E935" s="90"/>
      <c r="F935" s="90"/>
      <c r="G935" s="90"/>
      <c r="H935" s="123"/>
      <c r="I935" s="123"/>
      <c r="J935" s="123"/>
      <c r="K935" s="123"/>
      <c r="L935" s="123"/>
      <c r="M935" s="123"/>
      <c r="N935" s="123"/>
      <c r="O935" s="123"/>
      <c r="P935" s="123"/>
      <c r="Q935" s="123"/>
      <c r="U935" s="124"/>
      <c r="W935" s="125"/>
      <c r="AJ935" s="126"/>
      <c r="AK935" s="126"/>
      <c r="AL935" s="122"/>
    </row>
    <row r="936">
      <c r="C936" s="90"/>
      <c r="D936" s="90"/>
      <c r="E936" s="90"/>
      <c r="F936" s="90"/>
      <c r="G936" s="90"/>
      <c r="H936" s="123"/>
      <c r="I936" s="123"/>
      <c r="J936" s="123"/>
      <c r="K936" s="123"/>
      <c r="L936" s="123"/>
      <c r="M936" s="123"/>
      <c r="N936" s="123"/>
      <c r="O936" s="123"/>
      <c r="P936" s="123"/>
      <c r="Q936" s="123"/>
      <c r="U936" s="124"/>
      <c r="W936" s="125"/>
      <c r="AJ936" s="126"/>
      <c r="AK936" s="126"/>
      <c r="AL936" s="122"/>
    </row>
    <row r="937">
      <c r="C937" s="90"/>
      <c r="D937" s="90"/>
      <c r="E937" s="90"/>
      <c r="F937" s="90"/>
      <c r="G937" s="90"/>
      <c r="H937" s="123"/>
      <c r="I937" s="123"/>
      <c r="J937" s="123"/>
      <c r="K937" s="123"/>
      <c r="L937" s="123"/>
      <c r="M937" s="123"/>
      <c r="N937" s="123"/>
      <c r="O937" s="123"/>
      <c r="P937" s="123"/>
      <c r="Q937" s="123"/>
      <c r="U937" s="124"/>
      <c r="W937" s="125"/>
      <c r="AJ937" s="126"/>
      <c r="AK937" s="126"/>
      <c r="AL937" s="122"/>
    </row>
    <row r="938">
      <c r="C938" s="90"/>
      <c r="D938" s="90"/>
      <c r="E938" s="90"/>
      <c r="F938" s="90"/>
      <c r="G938" s="90"/>
      <c r="H938" s="123"/>
      <c r="I938" s="123"/>
      <c r="J938" s="123"/>
      <c r="K938" s="123"/>
      <c r="L938" s="123"/>
      <c r="M938" s="123"/>
      <c r="N938" s="123"/>
      <c r="O938" s="123"/>
      <c r="P938" s="123"/>
      <c r="Q938" s="123"/>
      <c r="U938" s="124"/>
      <c r="W938" s="125"/>
      <c r="AJ938" s="126"/>
      <c r="AK938" s="126"/>
      <c r="AL938" s="122"/>
    </row>
    <row r="939">
      <c r="C939" s="90"/>
      <c r="D939" s="90"/>
      <c r="E939" s="90"/>
      <c r="F939" s="90"/>
      <c r="G939" s="90"/>
      <c r="H939" s="123"/>
      <c r="I939" s="123"/>
      <c r="J939" s="123"/>
      <c r="K939" s="123"/>
      <c r="L939" s="123"/>
      <c r="M939" s="123"/>
      <c r="N939" s="123"/>
      <c r="O939" s="123"/>
      <c r="P939" s="123"/>
      <c r="Q939" s="123"/>
      <c r="U939" s="124"/>
      <c r="W939" s="125"/>
      <c r="AJ939" s="126"/>
      <c r="AK939" s="126"/>
      <c r="AL939" s="122"/>
    </row>
    <row r="940">
      <c r="C940" s="90"/>
      <c r="D940" s="90"/>
      <c r="E940" s="90"/>
      <c r="F940" s="90"/>
      <c r="G940" s="90"/>
      <c r="H940" s="123"/>
      <c r="I940" s="123"/>
      <c r="J940" s="123"/>
      <c r="K940" s="123"/>
      <c r="L940" s="123"/>
      <c r="M940" s="123"/>
      <c r="N940" s="123"/>
      <c r="O940" s="123"/>
      <c r="P940" s="123"/>
      <c r="Q940" s="123"/>
      <c r="U940" s="124"/>
      <c r="W940" s="125"/>
      <c r="AJ940" s="126"/>
      <c r="AK940" s="126"/>
      <c r="AL940" s="122"/>
    </row>
    <row r="941">
      <c r="C941" s="90"/>
      <c r="D941" s="90"/>
      <c r="E941" s="90"/>
      <c r="F941" s="90"/>
      <c r="G941" s="90"/>
      <c r="H941" s="123"/>
      <c r="I941" s="123"/>
      <c r="J941" s="123"/>
      <c r="K941" s="123"/>
      <c r="L941" s="123"/>
      <c r="M941" s="123"/>
      <c r="N941" s="123"/>
      <c r="O941" s="123"/>
      <c r="P941" s="123"/>
      <c r="Q941" s="123"/>
      <c r="U941" s="124"/>
      <c r="W941" s="125"/>
      <c r="AJ941" s="126"/>
      <c r="AK941" s="126"/>
      <c r="AL941" s="122"/>
    </row>
    <row r="942">
      <c r="C942" s="90"/>
      <c r="D942" s="90"/>
      <c r="E942" s="90"/>
      <c r="F942" s="90"/>
      <c r="G942" s="90"/>
      <c r="H942" s="123"/>
      <c r="I942" s="123"/>
      <c r="J942" s="123"/>
      <c r="K942" s="123"/>
      <c r="L942" s="123"/>
      <c r="M942" s="123"/>
      <c r="N942" s="123"/>
      <c r="O942" s="123"/>
      <c r="P942" s="123"/>
      <c r="Q942" s="123"/>
      <c r="U942" s="124"/>
      <c r="W942" s="125"/>
      <c r="AJ942" s="126"/>
      <c r="AK942" s="126"/>
      <c r="AL942" s="122"/>
    </row>
    <row r="943">
      <c r="C943" s="90"/>
      <c r="D943" s="90"/>
      <c r="E943" s="90"/>
      <c r="F943" s="90"/>
      <c r="G943" s="90"/>
      <c r="H943" s="123"/>
      <c r="I943" s="123"/>
      <c r="J943" s="123"/>
      <c r="K943" s="123"/>
      <c r="L943" s="123"/>
      <c r="M943" s="123"/>
      <c r="N943" s="123"/>
      <c r="O943" s="123"/>
      <c r="P943" s="123"/>
      <c r="Q943" s="123"/>
      <c r="U943" s="124"/>
      <c r="W943" s="125"/>
      <c r="AJ943" s="126"/>
      <c r="AK943" s="126"/>
      <c r="AL943" s="122"/>
    </row>
    <row r="944">
      <c r="C944" s="90"/>
      <c r="D944" s="90"/>
      <c r="E944" s="90"/>
      <c r="F944" s="90"/>
      <c r="G944" s="90"/>
      <c r="H944" s="123"/>
      <c r="I944" s="123"/>
      <c r="J944" s="123"/>
      <c r="K944" s="123"/>
      <c r="L944" s="123"/>
      <c r="M944" s="123"/>
      <c r="N944" s="123"/>
      <c r="O944" s="123"/>
      <c r="P944" s="123"/>
      <c r="Q944" s="123"/>
      <c r="U944" s="124"/>
      <c r="W944" s="125"/>
      <c r="AJ944" s="126"/>
      <c r="AK944" s="126"/>
      <c r="AL944" s="122"/>
    </row>
    <row r="945">
      <c r="C945" s="90"/>
      <c r="D945" s="90"/>
      <c r="E945" s="90"/>
      <c r="F945" s="90"/>
      <c r="G945" s="90"/>
      <c r="H945" s="123"/>
      <c r="I945" s="123"/>
      <c r="J945" s="123"/>
      <c r="K945" s="123"/>
      <c r="L945" s="123"/>
      <c r="M945" s="123"/>
      <c r="N945" s="123"/>
      <c r="O945" s="123"/>
      <c r="P945" s="123"/>
      <c r="Q945" s="123"/>
      <c r="U945" s="124"/>
      <c r="W945" s="125"/>
      <c r="AJ945" s="126"/>
      <c r="AK945" s="126"/>
      <c r="AL945" s="122"/>
    </row>
    <row r="946">
      <c r="C946" s="90"/>
      <c r="D946" s="90"/>
      <c r="E946" s="90"/>
      <c r="F946" s="90"/>
      <c r="G946" s="90"/>
      <c r="H946" s="123"/>
      <c r="I946" s="123"/>
      <c r="J946" s="123"/>
      <c r="K946" s="123"/>
      <c r="L946" s="123"/>
      <c r="M946" s="123"/>
      <c r="N946" s="123"/>
      <c r="O946" s="123"/>
      <c r="P946" s="123"/>
      <c r="Q946" s="123"/>
      <c r="U946" s="124"/>
      <c r="W946" s="125"/>
      <c r="AJ946" s="126"/>
      <c r="AK946" s="126"/>
      <c r="AL946" s="122"/>
    </row>
    <row r="947">
      <c r="C947" s="90"/>
      <c r="D947" s="90"/>
      <c r="E947" s="90"/>
      <c r="F947" s="90"/>
      <c r="G947" s="90"/>
      <c r="H947" s="123"/>
      <c r="I947" s="123"/>
      <c r="J947" s="123"/>
      <c r="K947" s="123"/>
      <c r="L947" s="123"/>
      <c r="M947" s="123"/>
      <c r="N947" s="123"/>
      <c r="O947" s="123"/>
      <c r="P947" s="123"/>
      <c r="Q947" s="123"/>
      <c r="U947" s="124"/>
      <c r="W947" s="125"/>
      <c r="AJ947" s="126"/>
      <c r="AK947" s="126"/>
      <c r="AL947" s="122"/>
    </row>
    <row r="948">
      <c r="C948" s="90"/>
      <c r="D948" s="90"/>
      <c r="E948" s="90"/>
      <c r="F948" s="90"/>
      <c r="G948" s="90"/>
      <c r="H948" s="123"/>
      <c r="I948" s="123"/>
      <c r="J948" s="123"/>
      <c r="K948" s="123"/>
      <c r="L948" s="123"/>
      <c r="M948" s="123"/>
      <c r="N948" s="123"/>
      <c r="O948" s="123"/>
      <c r="P948" s="123"/>
      <c r="Q948" s="123"/>
      <c r="U948" s="124"/>
      <c r="W948" s="125"/>
      <c r="AJ948" s="126"/>
      <c r="AK948" s="126"/>
      <c r="AL948" s="122"/>
    </row>
    <row r="949">
      <c r="C949" s="90"/>
      <c r="D949" s="90"/>
      <c r="E949" s="90"/>
      <c r="F949" s="90"/>
      <c r="G949" s="90"/>
      <c r="H949" s="123"/>
      <c r="I949" s="123"/>
      <c r="J949" s="123"/>
      <c r="K949" s="123"/>
      <c r="L949" s="123"/>
      <c r="M949" s="123"/>
      <c r="N949" s="123"/>
      <c r="O949" s="123"/>
      <c r="P949" s="123"/>
      <c r="Q949" s="123"/>
      <c r="U949" s="124"/>
      <c r="W949" s="125"/>
      <c r="AJ949" s="126"/>
      <c r="AK949" s="126"/>
      <c r="AL949" s="122"/>
    </row>
    <row r="950">
      <c r="C950" s="90"/>
      <c r="D950" s="90"/>
      <c r="E950" s="90"/>
      <c r="F950" s="90"/>
      <c r="G950" s="90"/>
      <c r="H950" s="123"/>
      <c r="I950" s="123"/>
      <c r="J950" s="123"/>
      <c r="K950" s="123"/>
      <c r="L950" s="123"/>
      <c r="M950" s="123"/>
      <c r="N950" s="123"/>
      <c r="O950" s="123"/>
      <c r="P950" s="123"/>
      <c r="Q950" s="123"/>
      <c r="U950" s="124"/>
      <c r="W950" s="125"/>
      <c r="AJ950" s="126"/>
      <c r="AK950" s="126"/>
      <c r="AL950" s="122"/>
    </row>
    <row r="951">
      <c r="C951" s="90"/>
      <c r="D951" s="90"/>
      <c r="E951" s="90"/>
      <c r="F951" s="90"/>
      <c r="G951" s="90"/>
      <c r="H951" s="123"/>
      <c r="I951" s="123"/>
      <c r="J951" s="123"/>
      <c r="K951" s="123"/>
      <c r="L951" s="123"/>
      <c r="M951" s="123"/>
      <c r="N951" s="123"/>
      <c r="O951" s="123"/>
      <c r="P951" s="123"/>
      <c r="Q951" s="123"/>
      <c r="U951" s="124"/>
      <c r="W951" s="125"/>
      <c r="AJ951" s="126"/>
      <c r="AK951" s="126"/>
      <c r="AL951" s="122"/>
    </row>
    <row r="952">
      <c r="C952" s="90"/>
      <c r="D952" s="90"/>
      <c r="E952" s="90"/>
      <c r="F952" s="90"/>
      <c r="G952" s="90"/>
      <c r="H952" s="123"/>
      <c r="I952" s="123"/>
      <c r="J952" s="123"/>
      <c r="K952" s="123"/>
      <c r="L952" s="123"/>
      <c r="M952" s="123"/>
      <c r="N952" s="123"/>
      <c r="O952" s="123"/>
      <c r="P952" s="123"/>
      <c r="Q952" s="123"/>
      <c r="U952" s="124"/>
      <c r="W952" s="125"/>
      <c r="AJ952" s="126"/>
      <c r="AK952" s="126"/>
      <c r="AL952" s="122"/>
    </row>
    <row r="953">
      <c r="C953" s="90"/>
      <c r="D953" s="90"/>
      <c r="E953" s="90"/>
      <c r="F953" s="90"/>
      <c r="G953" s="90"/>
      <c r="H953" s="123"/>
      <c r="I953" s="123"/>
      <c r="J953" s="123"/>
      <c r="K953" s="123"/>
      <c r="L953" s="123"/>
      <c r="M953" s="123"/>
      <c r="N953" s="123"/>
      <c r="O953" s="123"/>
      <c r="P953" s="123"/>
      <c r="Q953" s="123"/>
      <c r="U953" s="124"/>
      <c r="W953" s="125"/>
      <c r="AJ953" s="126"/>
      <c r="AK953" s="126"/>
      <c r="AL953" s="122"/>
    </row>
    <row r="954">
      <c r="C954" s="90"/>
      <c r="D954" s="90"/>
      <c r="E954" s="90"/>
      <c r="F954" s="90"/>
      <c r="G954" s="90"/>
      <c r="H954" s="123"/>
      <c r="I954" s="123"/>
      <c r="J954" s="123"/>
      <c r="K954" s="123"/>
      <c r="L954" s="123"/>
      <c r="M954" s="123"/>
      <c r="N954" s="123"/>
      <c r="O954" s="123"/>
      <c r="P954" s="123"/>
      <c r="Q954" s="123"/>
      <c r="U954" s="124"/>
      <c r="W954" s="125"/>
      <c r="AJ954" s="126"/>
      <c r="AK954" s="126"/>
      <c r="AL954" s="122"/>
    </row>
    <row r="955">
      <c r="C955" s="90"/>
      <c r="D955" s="90"/>
      <c r="E955" s="90"/>
      <c r="F955" s="90"/>
      <c r="G955" s="90"/>
      <c r="H955" s="123"/>
      <c r="I955" s="123"/>
      <c r="J955" s="123"/>
      <c r="K955" s="123"/>
      <c r="L955" s="123"/>
      <c r="M955" s="123"/>
      <c r="N955" s="123"/>
      <c r="O955" s="123"/>
      <c r="P955" s="123"/>
      <c r="Q955" s="123"/>
      <c r="U955" s="124"/>
      <c r="W955" s="125"/>
      <c r="AJ955" s="126"/>
      <c r="AK955" s="126"/>
      <c r="AL955" s="122"/>
    </row>
    <row r="956">
      <c r="C956" s="90"/>
      <c r="D956" s="90"/>
      <c r="E956" s="90"/>
      <c r="F956" s="90"/>
      <c r="G956" s="90"/>
      <c r="H956" s="123"/>
      <c r="I956" s="123"/>
      <c r="J956" s="123"/>
      <c r="K956" s="123"/>
      <c r="L956" s="123"/>
      <c r="M956" s="123"/>
      <c r="N956" s="123"/>
      <c r="O956" s="123"/>
      <c r="P956" s="123"/>
      <c r="Q956" s="123"/>
      <c r="U956" s="124"/>
      <c r="W956" s="125"/>
      <c r="AJ956" s="126"/>
      <c r="AK956" s="126"/>
      <c r="AL956" s="122"/>
    </row>
    <row r="957">
      <c r="C957" s="90"/>
      <c r="D957" s="90"/>
      <c r="E957" s="90"/>
      <c r="F957" s="90"/>
      <c r="G957" s="90"/>
      <c r="H957" s="123"/>
      <c r="I957" s="123"/>
      <c r="J957" s="123"/>
      <c r="K957" s="123"/>
      <c r="L957" s="123"/>
      <c r="M957" s="123"/>
      <c r="N957" s="123"/>
      <c r="O957" s="123"/>
      <c r="P957" s="123"/>
      <c r="Q957" s="123"/>
      <c r="U957" s="124"/>
      <c r="W957" s="125"/>
      <c r="AJ957" s="126"/>
      <c r="AK957" s="126"/>
      <c r="AL957" s="122"/>
    </row>
    <row r="958">
      <c r="C958" s="90"/>
      <c r="D958" s="90"/>
      <c r="E958" s="90"/>
      <c r="F958" s="90"/>
      <c r="G958" s="90"/>
      <c r="H958" s="123"/>
      <c r="I958" s="123"/>
      <c r="J958" s="123"/>
      <c r="K958" s="123"/>
      <c r="L958" s="123"/>
      <c r="M958" s="123"/>
      <c r="N958" s="123"/>
      <c r="O958" s="123"/>
      <c r="P958" s="123"/>
      <c r="Q958" s="123"/>
      <c r="U958" s="124"/>
      <c r="W958" s="125"/>
      <c r="AJ958" s="126"/>
      <c r="AK958" s="126"/>
      <c r="AL958" s="122"/>
    </row>
    <row r="959">
      <c r="C959" s="90"/>
      <c r="D959" s="90"/>
      <c r="E959" s="90"/>
      <c r="F959" s="90"/>
      <c r="G959" s="90"/>
      <c r="H959" s="123"/>
      <c r="I959" s="123"/>
      <c r="J959" s="123"/>
      <c r="K959" s="123"/>
      <c r="L959" s="123"/>
      <c r="M959" s="123"/>
      <c r="N959" s="123"/>
      <c r="O959" s="123"/>
      <c r="P959" s="123"/>
      <c r="Q959" s="123"/>
      <c r="U959" s="124"/>
      <c r="W959" s="125"/>
      <c r="AJ959" s="126"/>
      <c r="AK959" s="126"/>
      <c r="AL959" s="122"/>
    </row>
    <row r="960">
      <c r="C960" s="90"/>
      <c r="D960" s="90"/>
      <c r="E960" s="90"/>
      <c r="F960" s="90"/>
      <c r="G960" s="90"/>
      <c r="H960" s="123"/>
      <c r="I960" s="123"/>
      <c r="J960" s="123"/>
      <c r="K960" s="123"/>
      <c r="L960" s="123"/>
      <c r="M960" s="123"/>
      <c r="N960" s="123"/>
      <c r="O960" s="123"/>
      <c r="P960" s="123"/>
      <c r="Q960" s="123"/>
      <c r="U960" s="124"/>
      <c r="W960" s="125"/>
      <c r="AJ960" s="126"/>
      <c r="AK960" s="126"/>
      <c r="AL960" s="122"/>
    </row>
    <row r="961">
      <c r="C961" s="90"/>
      <c r="D961" s="90"/>
      <c r="E961" s="90"/>
      <c r="F961" s="90"/>
      <c r="G961" s="90"/>
      <c r="H961" s="123"/>
      <c r="I961" s="123"/>
      <c r="J961" s="123"/>
      <c r="K961" s="123"/>
      <c r="L961" s="123"/>
      <c r="M961" s="123"/>
      <c r="N961" s="123"/>
      <c r="O961" s="123"/>
      <c r="P961" s="123"/>
      <c r="Q961" s="123"/>
      <c r="U961" s="124"/>
      <c r="W961" s="125"/>
      <c r="AJ961" s="126"/>
      <c r="AK961" s="126"/>
      <c r="AL961" s="122"/>
    </row>
    <row r="962">
      <c r="C962" s="90"/>
      <c r="D962" s="90"/>
      <c r="E962" s="90"/>
      <c r="F962" s="90"/>
      <c r="G962" s="90"/>
      <c r="H962" s="123"/>
      <c r="I962" s="123"/>
      <c r="J962" s="123"/>
      <c r="K962" s="123"/>
      <c r="L962" s="123"/>
      <c r="M962" s="123"/>
      <c r="N962" s="123"/>
      <c r="O962" s="123"/>
      <c r="P962" s="123"/>
      <c r="Q962" s="123"/>
      <c r="U962" s="124"/>
      <c r="W962" s="125"/>
      <c r="AJ962" s="126"/>
      <c r="AK962" s="126"/>
      <c r="AL962" s="122"/>
    </row>
    <row r="963">
      <c r="C963" s="90"/>
      <c r="D963" s="90"/>
      <c r="E963" s="90"/>
      <c r="F963" s="90"/>
      <c r="G963" s="90"/>
      <c r="H963" s="123"/>
      <c r="I963" s="123"/>
      <c r="J963" s="123"/>
      <c r="K963" s="123"/>
      <c r="L963" s="123"/>
      <c r="M963" s="123"/>
      <c r="N963" s="123"/>
      <c r="O963" s="123"/>
      <c r="P963" s="123"/>
      <c r="Q963" s="123"/>
      <c r="U963" s="124"/>
      <c r="W963" s="125"/>
      <c r="AJ963" s="126"/>
      <c r="AK963" s="126"/>
      <c r="AL963" s="122"/>
    </row>
    <row r="964">
      <c r="C964" s="90"/>
      <c r="D964" s="90"/>
      <c r="E964" s="90"/>
      <c r="F964" s="90"/>
      <c r="G964" s="90"/>
      <c r="H964" s="123"/>
      <c r="I964" s="123"/>
      <c r="J964" s="123"/>
      <c r="K964" s="123"/>
      <c r="L964" s="123"/>
      <c r="M964" s="123"/>
      <c r="N964" s="123"/>
      <c r="O964" s="123"/>
      <c r="P964" s="123"/>
      <c r="Q964" s="123"/>
      <c r="U964" s="124"/>
      <c r="W964" s="125"/>
      <c r="AJ964" s="126"/>
      <c r="AK964" s="126"/>
      <c r="AL964" s="122"/>
    </row>
    <row r="965">
      <c r="C965" s="90"/>
      <c r="D965" s="90"/>
      <c r="E965" s="90"/>
      <c r="F965" s="90"/>
      <c r="G965" s="90"/>
      <c r="H965" s="123"/>
      <c r="I965" s="123"/>
      <c r="J965" s="123"/>
      <c r="K965" s="123"/>
      <c r="L965" s="123"/>
      <c r="M965" s="123"/>
      <c r="N965" s="123"/>
      <c r="O965" s="123"/>
      <c r="P965" s="123"/>
      <c r="Q965" s="123"/>
      <c r="U965" s="124"/>
      <c r="W965" s="125"/>
      <c r="AJ965" s="126"/>
      <c r="AK965" s="126"/>
      <c r="AL965" s="122"/>
    </row>
    <row r="966">
      <c r="C966" s="90"/>
      <c r="D966" s="90"/>
      <c r="E966" s="90"/>
      <c r="F966" s="90"/>
      <c r="G966" s="90"/>
      <c r="H966" s="123"/>
      <c r="I966" s="123"/>
      <c r="J966" s="123"/>
      <c r="K966" s="123"/>
      <c r="L966" s="123"/>
      <c r="M966" s="123"/>
      <c r="N966" s="123"/>
      <c r="O966" s="123"/>
      <c r="P966" s="123"/>
      <c r="Q966" s="123"/>
      <c r="U966" s="124"/>
      <c r="W966" s="125"/>
      <c r="AJ966" s="126"/>
      <c r="AK966" s="126"/>
      <c r="AL966" s="122"/>
    </row>
    <row r="967">
      <c r="C967" s="90"/>
      <c r="D967" s="90"/>
      <c r="E967" s="90"/>
      <c r="F967" s="90"/>
      <c r="G967" s="90"/>
      <c r="H967" s="123"/>
      <c r="I967" s="123"/>
      <c r="J967" s="123"/>
      <c r="K967" s="123"/>
      <c r="L967" s="123"/>
      <c r="M967" s="123"/>
      <c r="N967" s="123"/>
      <c r="O967" s="123"/>
      <c r="P967" s="123"/>
      <c r="Q967" s="123"/>
      <c r="U967" s="124"/>
      <c r="W967" s="125"/>
      <c r="AJ967" s="126"/>
      <c r="AK967" s="126"/>
      <c r="AL967" s="122"/>
    </row>
    <row r="968">
      <c r="C968" s="90"/>
      <c r="D968" s="90"/>
      <c r="E968" s="90"/>
      <c r="F968" s="90"/>
      <c r="G968" s="90"/>
      <c r="H968" s="123"/>
      <c r="I968" s="123"/>
      <c r="J968" s="123"/>
      <c r="K968" s="123"/>
      <c r="L968" s="123"/>
      <c r="M968" s="123"/>
      <c r="N968" s="123"/>
      <c r="O968" s="123"/>
      <c r="P968" s="123"/>
      <c r="Q968" s="123"/>
      <c r="U968" s="124"/>
      <c r="W968" s="125"/>
      <c r="AJ968" s="126"/>
      <c r="AK968" s="126"/>
      <c r="AL968" s="122"/>
    </row>
    <row r="969">
      <c r="C969" s="90"/>
      <c r="D969" s="90"/>
      <c r="E969" s="90"/>
      <c r="F969" s="90"/>
      <c r="G969" s="90"/>
      <c r="H969" s="123"/>
      <c r="I969" s="123"/>
      <c r="J969" s="123"/>
      <c r="K969" s="123"/>
      <c r="L969" s="123"/>
      <c r="M969" s="123"/>
      <c r="N969" s="123"/>
      <c r="O969" s="123"/>
      <c r="P969" s="123"/>
      <c r="Q969" s="123"/>
      <c r="U969" s="124"/>
      <c r="W969" s="125"/>
      <c r="AJ969" s="126"/>
      <c r="AK969" s="126"/>
      <c r="AL969" s="122"/>
    </row>
    <row r="970">
      <c r="C970" s="90"/>
      <c r="D970" s="90"/>
      <c r="E970" s="90"/>
      <c r="F970" s="90"/>
      <c r="G970" s="90"/>
      <c r="H970" s="123"/>
      <c r="I970" s="123"/>
      <c r="J970" s="123"/>
      <c r="K970" s="123"/>
      <c r="L970" s="123"/>
      <c r="M970" s="123"/>
      <c r="N970" s="123"/>
      <c r="O970" s="123"/>
      <c r="P970" s="123"/>
      <c r="Q970" s="123"/>
      <c r="U970" s="124"/>
      <c r="W970" s="125"/>
      <c r="AJ970" s="126"/>
      <c r="AK970" s="126"/>
      <c r="AL970" s="122"/>
    </row>
    <row r="971">
      <c r="C971" s="90"/>
      <c r="D971" s="90"/>
      <c r="E971" s="90"/>
      <c r="F971" s="90"/>
      <c r="G971" s="90"/>
      <c r="H971" s="123"/>
      <c r="I971" s="123"/>
      <c r="J971" s="123"/>
      <c r="K971" s="123"/>
      <c r="L971" s="123"/>
      <c r="M971" s="123"/>
      <c r="N971" s="123"/>
      <c r="O971" s="123"/>
      <c r="P971" s="123"/>
      <c r="Q971" s="123"/>
      <c r="U971" s="124"/>
      <c r="W971" s="125"/>
      <c r="AJ971" s="126"/>
      <c r="AK971" s="126"/>
      <c r="AL971" s="122"/>
    </row>
    <row r="972">
      <c r="C972" s="90"/>
      <c r="D972" s="90"/>
      <c r="E972" s="90"/>
      <c r="F972" s="90"/>
      <c r="G972" s="90"/>
      <c r="H972" s="123"/>
      <c r="I972" s="123"/>
      <c r="J972" s="123"/>
      <c r="K972" s="123"/>
      <c r="L972" s="123"/>
      <c r="M972" s="123"/>
      <c r="N972" s="123"/>
      <c r="O972" s="123"/>
      <c r="P972" s="123"/>
      <c r="Q972" s="123"/>
      <c r="U972" s="124"/>
      <c r="W972" s="125"/>
      <c r="AJ972" s="126"/>
      <c r="AK972" s="126"/>
      <c r="AL972" s="122"/>
    </row>
    <row r="973">
      <c r="C973" s="90"/>
      <c r="D973" s="90"/>
      <c r="E973" s="90"/>
      <c r="F973" s="90"/>
      <c r="G973" s="90"/>
      <c r="H973" s="123"/>
      <c r="I973" s="123"/>
      <c r="J973" s="123"/>
      <c r="K973" s="123"/>
      <c r="L973" s="123"/>
      <c r="M973" s="123"/>
      <c r="N973" s="123"/>
      <c r="O973" s="123"/>
      <c r="P973" s="123"/>
      <c r="Q973" s="123"/>
      <c r="U973" s="124"/>
      <c r="W973" s="125"/>
      <c r="AJ973" s="126"/>
      <c r="AK973" s="126"/>
      <c r="AL973" s="122"/>
    </row>
    <row r="974">
      <c r="C974" s="90"/>
      <c r="D974" s="90"/>
      <c r="E974" s="90"/>
      <c r="F974" s="90"/>
      <c r="G974" s="90"/>
      <c r="H974" s="123"/>
      <c r="I974" s="123"/>
      <c r="J974" s="123"/>
      <c r="K974" s="123"/>
      <c r="L974" s="123"/>
      <c r="M974" s="123"/>
      <c r="N974" s="123"/>
      <c r="O974" s="123"/>
      <c r="P974" s="123"/>
      <c r="Q974" s="123"/>
      <c r="U974" s="124"/>
      <c r="W974" s="125"/>
      <c r="AJ974" s="126"/>
      <c r="AK974" s="126"/>
      <c r="AL974" s="122"/>
    </row>
    <row r="975">
      <c r="C975" s="90"/>
      <c r="D975" s="90"/>
      <c r="E975" s="90"/>
      <c r="F975" s="90"/>
      <c r="G975" s="90"/>
      <c r="H975" s="123"/>
      <c r="I975" s="123"/>
      <c r="J975" s="123"/>
      <c r="K975" s="123"/>
      <c r="L975" s="123"/>
      <c r="M975" s="123"/>
      <c r="N975" s="123"/>
      <c r="O975" s="123"/>
      <c r="P975" s="123"/>
      <c r="Q975" s="123"/>
      <c r="U975" s="124"/>
      <c r="W975" s="125"/>
      <c r="AJ975" s="126"/>
      <c r="AK975" s="126"/>
      <c r="AL975" s="122"/>
    </row>
    <row r="976">
      <c r="C976" s="90"/>
      <c r="D976" s="90"/>
      <c r="E976" s="90"/>
      <c r="F976" s="90"/>
      <c r="G976" s="90"/>
      <c r="H976" s="123"/>
      <c r="I976" s="123"/>
      <c r="J976" s="123"/>
      <c r="K976" s="123"/>
      <c r="L976" s="123"/>
      <c r="M976" s="123"/>
      <c r="N976" s="123"/>
      <c r="O976" s="123"/>
      <c r="P976" s="123"/>
      <c r="Q976" s="123"/>
      <c r="U976" s="124"/>
      <c r="W976" s="125"/>
      <c r="AJ976" s="126"/>
      <c r="AK976" s="126"/>
      <c r="AL976" s="122"/>
    </row>
    <row r="977">
      <c r="C977" s="90"/>
      <c r="D977" s="90"/>
      <c r="E977" s="90"/>
      <c r="F977" s="90"/>
      <c r="G977" s="90"/>
      <c r="H977" s="123"/>
      <c r="I977" s="123"/>
      <c r="J977" s="123"/>
      <c r="K977" s="123"/>
      <c r="L977" s="123"/>
      <c r="M977" s="123"/>
      <c r="N977" s="123"/>
      <c r="O977" s="123"/>
      <c r="P977" s="123"/>
      <c r="Q977" s="123"/>
      <c r="U977" s="124"/>
      <c r="W977" s="125"/>
      <c r="AJ977" s="126"/>
      <c r="AK977" s="126"/>
      <c r="AL977" s="122"/>
    </row>
    <row r="978">
      <c r="C978" s="90"/>
      <c r="D978" s="90"/>
      <c r="E978" s="90"/>
      <c r="F978" s="90"/>
      <c r="G978" s="90"/>
      <c r="H978" s="123"/>
      <c r="I978" s="123"/>
      <c r="J978" s="123"/>
      <c r="K978" s="123"/>
      <c r="L978" s="123"/>
      <c r="M978" s="123"/>
      <c r="N978" s="123"/>
      <c r="O978" s="123"/>
      <c r="P978" s="123"/>
      <c r="Q978" s="123"/>
      <c r="U978" s="124"/>
      <c r="W978" s="125"/>
      <c r="AJ978" s="126"/>
      <c r="AK978" s="126"/>
      <c r="AL978" s="122"/>
    </row>
    <row r="979">
      <c r="C979" s="90"/>
      <c r="D979" s="90"/>
      <c r="E979" s="90"/>
      <c r="F979" s="90"/>
      <c r="G979" s="90"/>
      <c r="H979" s="123"/>
      <c r="I979" s="123"/>
      <c r="J979" s="123"/>
      <c r="K979" s="123"/>
      <c r="L979" s="123"/>
      <c r="M979" s="123"/>
      <c r="N979" s="123"/>
      <c r="O979" s="123"/>
      <c r="P979" s="123"/>
      <c r="Q979" s="123"/>
      <c r="U979" s="124"/>
      <c r="W979" s="125"/>
      <c r="AJ979" s="126"/>
      <c r="AK979" s="126"/>
      <c r="AL979" s="122"/>
    </row>
    <row r="980">
      <c r="C980" s="90"/>
      <c r="D980" s="90"/>
      <c r="E980" s="90"/>
      <c r="F980" s="90"/>
      <c r="G980" s="90"/>
      <c r="H980" s="123"/>
      <c r="I980" s="123"/>
      <c r="J980" s="123"/>
      <c r="K980" s="123"/>
      <c r="L980" s="123"/>
      <c r="M980" s="123"/>
      <c r="N980" s="123"/>
      <c r="O980" s="123"/>
      <c r="P980" s="123"/>
      <c r="Q980" s="123"/>
      <c r="U980" s="124"/>
      <c r="W980" s="125"/>
      <c r="AJ980" s="126"/>
      <c r="AK980" s="126"/>
      <c r="AL980" s="122"/>
    </row>
    <row r="981">
      <c r="C981" s="90"/>
      <c r="D981" s="90"/>
      <c r="E981" s="90"/>
      <c r="F981" s="90"/>
      <c r="G981" s="90"/>
      <c r="H981" s="123"/>
      <c r="I981" s="123"/>
      <c r="J981" s="123"/>
      <c r="K981" s="123"/>
      <c r="L981" s="123"/>
      <c r="M981" s="123"/>
      <c r="N981" s="123"/>
      <c r="O981" s="123"/>
      <c r="P981" s="123"/>
      <c r="Q981" s="123"/>
      <c r="U981" s="124"/>
      <c r="W981" s="125"/>
      <c r="AJ981" s="126"/>
      <c r="AK981" s="126"/>
      <c r="AL981" s="122"/>
    </row>
    <row r="982">
      <c r="C982" s="90"/>
      <c r="D982" s="90"/>
      <c r="E982" s="90"/>
      <c r="F982" s="90"/>
      <c r="G982" s="90"/>
      <c r="H982" s="123"/>
      <c r="I982" s="123"/>
      <c r="J982" s="123"/>
      <c r="K982" s="123"/>
      <c r="L982" s="123"/>
      <c r="M982" s="123"/>
      <c r="N982" s="123"/>
      <c r="O982" s="123"/>
      <c r="P982" s="123"/>
      <c r="Q982" s="123"/>
      <c r="U982" s="124"/>
      <c r="W982" s="125"/>
      <c r="AJ982" s="126"/>
      <c r="AK982" s="126"/>
      <c r="AL982" s="122"/>
    </row>
    <row r="983">
      <c r="C983" s="90"/>
      <c r="D983" s="90"/>
      <c r="E983" s="90"/>
      <c r="F983" s="90"/>
      <c r="G983" s="90"/>
      <c r="H983" s="123"/>
      <c r="I983" s="123"/>
      <c r="J983" s="123"/>
      <c r="K983" s="123"/>
      <c r="L983" s="123"/>
      <c r="M983" s="123"/>
      <c r="N983" s="123"/>
      <c r="O983" s="123"/>
      <c r="P983" s="123"/>
      <c r="Q983" s="123"/>
      <c r="U983" s="124"/>
      <c r="W983" s="125"/>
      <c r="AJ983" s="126"/>
      <c r="AK983" s="126"/>
      <c r="AL983" s="122"/>
    </row>
    <row r="984">
      <c r="C984" s="90"/>
      <c r="D984" s="90"/>
      <c r="E984" s="90"/>
      <c r="F984" s="90"/>
      <c r="G984" s="90"/>
      <c r="H984" s="123"/>
      <c r="I984" s="123"/>
      <c r="J984" s="123"/>
      <c r="K984" s="123"/>
      <c r="L984" s="123"/>
      <c r="M984" s="123"/>
      <c r="N984" s="123"/>
      <c r="O984" s="123"/>
      <c r="P984" s="123"/>
      <c r="Q984" s="123"/>
      <c r="U984" s="124"/>
      <c r="W984" s="125"/>
      <c r="AJ984" s="126"/>
      <c r="AK984" s="126"/>
      <c r="AL984" s="122"/>
    </row>
    <row r="985">
      <c r="C985" s="90"/>
      <c r="D985" s="90"/>
      <c r="E985" s="90"/>
      <c r="F985" s="90"/>
      <c r="G985" s="90"/>
      <c r="H985" s="123"/>
      <c r="I985" s="123"/>
      <c r="J985" s="123"/>
      <c r="K985" s="123"/>
      <c r="L985" s="123"/>
      <c r="M985" s="123"/>
      <c r="N985" s="123"/>
      <c r="O985" s="123"/>
      <c r="P985" s="123"/>
      <c r="Q985" s="123"/>
      <c r="U985" s="124"/>
      <c r="W985" s="125"/>
      <c r="AJ985" s="126"/>
      <c r="AK985" s="126"/>
      <c r="AL985" s="122"/>
    </row>
    <row r="986">
      <c r="C986" s="90"/>
      <c r="D986" s="90"/>
      <c r="E986" s="90"/>
      <c r="F986" s="90"/>
      <c r="G986" s="90"/>
      <c r="H986" s="123"/>
      <c r="I986" s="123"/>
      <c r="J986" s="123"/>
      <c r="K986" s="123"/>
      <c r="L986" s="123"/>
      <c r="M986" s="123"/>
      <c r="N986" s="123"/>
      <c r="O986" s="123"/>
      <c r="P986" s="123"/>
      <c r="Q986" s="123"/>
      <c r="U986" s="124"/>
      <c r="W986" s="125"/>
      <c r="AJ986" s="126"/>
      <c r="AK986" s="126"/>
      <c r="AL986" s="122"/>
    </row>
    <row r="987">
      <c r="C987" s="90"/>
      <c r="D987" s="90"/>
      <c r="E987" s="90"/>
      <c r="F987" s="90"/>
      <c r="G987" s="90"/>
      <c r="H987" s="123"/>
      <c r="I987" s="123"/>
      <c r="J987" s="123"/>
      <c r="K987" s="123"/>
      <c r="L987" s="123"/>
      <c r="M987" s="123"/>
      <c r="N987" s="123"/>
      <c r="O987" s="123"/>
      <c r="P987" s="123"/>
      <c r="Q987" s="123"/>
      <c r="U987" s="124"/>
      <c r="W987" s="125"/>
      <c r="AJ987" s="126"/>
      <c r="AK987" s="126"/>
      <c r="AL987" s="122"/>
    </row>
    <row r="988">
      <c r="C988" s="90"/>
      <c r="D988" s="90"/>
      <c r="E988" s="90"/>
      <c r="F988" s="90"/>
      <c r="G988" s="90"/>
      <c r="H988" s="123"/>
      <c r="I988" s="123"/>
      <c r="J988" s="123"/>
      <c r="K988" s="123"/>
      <c r="L988" s="123"/>
      <c r="M988" s="123"/>
      <c r="N988" s="123"/>
      <c r="O988" s="123"/>
      <c r="P988" s="123"/>
      <c r="Q988" s="123"/>
      <c r="U988" s="124"/>
      <c r="W988" s="125"/>
      <c r="AJ988" s="126"/>
      <c r="AK988" s="126"/>
      <c r="AL988" s="122"/>
    </row>
    <row r="989">
      <c r="C989" s="90"/>
      <c r="D989" s="90"/>
      <c r="E989" s="90"/>
      <c r="F989" s="90"/>
      <c r="G989" s="90"/>
      <c r="H989" s="123"/>
      <c r="I989" s="123"/>
      <c r="J989" s="123"/>
      <c r="K989" s="123"/>
      <c r="L989" s="123"/>
      <c r="M989" s="123"/>
      <c r="N989" s="123"/>
      <c r="O989" s="123"/>
      <c r="P989" s="123"/>
      <c r="Q989" s="123"/>
      <c r="U989" s="124"/>
      <c r="W989" s="125"/>
      <c r="AJ989" s="126"/>
      <c r="AK989" s="126"/>
      <c r="AL989" s="122"/>
    </row>
    <row r="990">
      <c r="C990" s="90"/>
      <c r="D990" s="90"/>
      <c r="E990" s="90"/>
      <c r="F990" s="90"/>
      <c r="G990" s="90"/>
      <c r="H990" s="123"/>
      <c r="I990" s="123"/>
      <c r="J990" s="123"/>
      <c r="K990" s="123"/>
      <c r="L990" s="123"/>
      <c r="M990" s="123"/>
      <c r="N990" s="123"/>
      <c r="O990" s="123"/>
      <c r="P990" s="123"/>
      <c r="Q990" s="123"/>
      <c r="U990" s="124"/>
      <c r="W990" s="125"/>
      <c r="AJ990" s="126"/>
      <c r="AK990" s="126"/>
      <c r="AL990" s="122"/>
    </row>
    <row r="991">
      <c r="C991" s="90"/>
      <c r="D991" s="90"/>
      <c r="E991" s="90"/>
      <c r="F991" s="90"/>
      <c r="G991" s="90"/>
      <c r="H991" s="123"/>
      <c r="I991" s="123"/>
      <c r="J991" s="123"/>
      <c r="K991" s="123"/>
      <c r="L991" s="123"/>
      <c r="M991" s="123"/>
      <c r="N991" s="123"/>
      <c r="O991" s="123"/>
      <c r="P991" s="123"/>
      <c r="Q991" s="123"/>
      <c r="U991" s="124"/>
      <c r="W991" s="125"/>
      <c r="AJ991" s="126"/>
      <c r="AK991" s="126"/>
      <c r="AL991" s="122"/>
    </row>
    <row r="992">
      <c r="C992" s="90"/>
      <c r="D992" s="90"/>
      <c r="E992" s="90"/>
      <c r="F992" s="90"/>
      <c r="G992" s="90"/>
      <c r="H992" s="123"/>
      <c r="I992" s="123"/>
      <c r="J992" s="123"/>
      <c r="K992" s="123"/>
      <c r="L992" s="123"/>
      <c r="M992" s="123"/>
      <c r="N992" s="123"/>
      <c r="O992" s="123"/>
      <c r="P992" s="123"/>
      <c r="Q992" s="123"/>
      <c r="U992" s="124"/>
      <c r="W992" s="125"/>
      <c r="AJ992" s="126"/>
      <c r="AK992" s="126"/>
      <c r="AL992" s="122"/>
    </row>
    <row r="993">
      <c r="C993" s="127"/>
      <c r="D993" s="127"/>
      <c r="E993" s="127"/>
      <c r="F993" s="127"/>
      <c r="G993" s="127"/>
      <c r="H993" s="123"/>
      <c r="I993" s="123"/>
      <c r="J993" s="123"/>
      <c r="K993" s="123"/>
      <c r="L993" s="123"/>
      <c r="M993" s="123"/>
      <c r="N993" s="123"/>
      <c r="O993" s="123"/>
      <c r="P993" s="123"/>
      <c r="Q993" s="123"/>
      <c r="U993" s="124"/>
      <c r="W993" s="125"/>
      <c r="AJ993" s="126"/>
      <c r="AK993" s="126"/>
      <c r="AL993" s="122"/>
    </row>
    <row r="994">
      <c r="C994" s="127"/>
      <c r="D994" s="127"/>
      <c r="E994" s="127"/>
      <c r="F994" s="127"/>
      <c r="G994" s="127"/>
      <c r="H994" s="123"/>
      <c r="I994" s="123"/>
      <c r="J994" s="123"/>
      <c r="K994" s="123"/>
      <c r="L994" s="123"/>
      <c r="M994" s="123"/>
      <c r="N994" s="123"/>
      <c r="O994" s="123"/>
      <c r="P994" s="123"/>
      <c r="Q994" s="123"/>
      <c r="U994" s="124"/>
      <c r="W994" s="125"/>
      <c r="AJ994" s="126"/>
      <c r="AK994" s="126"/>
      <c r="AL994" s="122"/>
    </row>
    <row r="995">
      <c r="C995" s="127"/>
      <c r="D995" s="127"/>
      <c r="E995" s="127"/>
      <c r="F995" s="127"/>
      <c r="G995" s="127"/>
      <c r="H995" s="123"/>
      <c r="I995" s="123"/>
      <c r="J995" s="123"/>
      <c r="K995" s="123"/>
      <c r="L995" s="123"/>
      <c r="M995" s="123"/>
      <c r="N995" s="123"/>
      <c r="O995" s="123"/>
      <c r="P995" s="123"/>
      <c r="Q995" s="123"/>
      <c r="U995" s="124"/>
      <c r="W995" s="125"/>
      <c r="AJ995" s="126"/>
      <c r="AK995" s="126"/>
      <c r="AL995" s="122"/>
    </row>
    <row r="996">
      <c r="C996" s="127"/>
      <c r="D996" s="127"/>
      <c r="E996" s="127"/>
      <c r="F996" s="127"/>
      <c r="G996" s="127"/>
      <c r="H996" s="123"/>
      <c r="I996" s="123"/>
      <c r="J996" s="123"/>
      <c r="K996" s="123"/>
      <c r="L996" s="123"/>
      <c r="M996" s="123"/>
      <c r="N996" s="123"/>
      <c r="O996" s="123"/>
      <c r="P996" s="123"/>
      <c r="Q996" s="123"/>
      <c r="U996" s="124"/>
      <c r="W996" s="125"/>
      <c r="AJ996" s="126"/>
      <c r="AK996" s="126"/>
      <c r="AL996" s="122"/>
    </row>
    <row r="997">
      <c r="C997" s="127"/>
      <c r="D997" s="127"/>
      <c r="E997" s="127"/>
      <c r="F997" s="127"/>
      <c r="G997" s="127"/>
      <c r="H997" s="123"/>
      <c r="I997" s="123"/>
      <c r="J997" s="123"/>
      <c r="K997" s="123"/>
      <c r="L997" s="123"/>
      <c r="M997" s="123"/>
      <c r="N997" s="123"/>
      <c r="O997" s="123"/>
      <c r="P997" s="123"/>
      <c r="Q997" s="123"/>
      <c r="U997" s="124"/>
      <c r="W997" s="125"/>
      <c r="AJ997" s="126"/>
      <c r="AK997" s="126"/>
      <c r="AL997" s="122"/>
    </row>
    <row r="998">
      <c r="C998" s="127"/>
      <c r="D998" s="127"/>
      <c r="E998" s="127"/>
      <c r="F998" s="127"/>
      <c r="G998" s="127"/>
      <c r="H998" s="123"/>
      <c r="I998" s="123"/>
      <c r="J998" s="123"/>
      <c r="K998" s="123"/>
      <c r="L998" s="123"/>
      <c r="M998" s="123"/>
      <c r="N998" s="123"/>
      <c r="O998" s="123"/>
      <c r="P998" s="123"/>
      <c r="Q998" s="123"/>
      <c r="U998" s="124"/>
      <c r="W998" s="125"/>
      <c r="AJ998" s="126"/>
      <c r="AK998" s="126"/>
      <c r="AL998" s="122"/>
    </row>
    <row r="999">
      <c r="C999" s="127"/>
      <c r="D999" s="127"/>
      <c r="E999" s="127"/>
      <c r="F999" s="127"/>
      <c r="G999" s="127"/>
      <c r="H999" s="123"/>
      <c r="I999" s="123"/>
      <c r="J999" s="123"/>
      <c r="K999" s="123"/>
      <c r="L999" s="123"/>
      <c r="M999" s="123"/>
      <c r="N999" s="123"/>
      <c r="O999" s="123"/>
      <c r="P999" s="123"/>
      <c r="Q999" s="123"/>
      <c r="U999" s="124"/>
      <c r="W999" s="125"/>
      <c r="AJ999" s="126"/>
      <c r="AK999" s="126"/>
      <c r="AL999" s="122"/>
    </row>
    <row r="1000">
      <c r="C1000" s="127"/>
      <c r="D1000" s="127"/>
      <c r="E1000" s="127"/>
      <c r="F1000" s="127"/>
      <c r="G1000" s="127"/>
      <c r="H1000" s="123"/>
      <c r="I1000" s="123"/>
      <c r="J1000" s="123"/>
      <c r="K1000" s="123"/>
      <c r="L1000" s="123"/>
      <c r="M1000" s="123"/>
      <c r="N1000" s="123"/>
      <c r="O1000" s="123"/>
      <c r="P1000" s="123"/>
      <c r="Q1000" s="123"/>
      <c r="U1000" s="124"/>
      <c r="W1000" s="125"/>
      <c r="AJ1000" s="126"/>
      <c r="AK1000" s="126"/>
      <c r="AL1000" s="122"/>
    </row>
    <row r="1001">
      <c r="C1001" s="127"/>
      <c r="D1001" s="127"/>
      <c r="E1001" s="127"/>
      <c r="F1001" s="127"/>
      <c r="G1001" s="127"/>
      <c r="H1001" s="123"/>
      <c r="I1001" s="123"/>
      <c r="J1001" s="123"/>
      <c r="K1001" s="123"/>
      <c r="L1001" s="123"/>
      <c r="M1001" s="123"/>
      <c r="N1001" s="123"/>
      <c r="O1001" s="123"/>
      <c r="P1001" s="123"/>
      <c r="Q1001" s="123"/>
      <c r="U1001" s="124"/>
      <c r="W1001" s="125"/>
      <c r="AJ1001" s="126"/>
      <c r="AK1001" s="126"/>
      <c r="AL1001" s="122"/>
    </row>
    <row r="1002">
      <c r="C1002" s="127"/>
      <c r="D1002" s="127"/>
      <c r="E1002" s="127"/>
      <c r="F1002" s="127"/>
      <c r="G1002" s="127"/>
      <c r="H1002" s="123"/>
      <c r="I1002" s="123"/>
      <c r="J1002" s="123"/>
      <c r="K1002" s="123"/>
      <c r="L1002" s="123"/>
      <c r="M1002" s="123"/>
      <c r="N1002" s="123"/>
      <c r="O1002" s="123"/>
      <c r="P1002" s="123"/>
      <c r="Q1002" s="123"/>
      <c r="U1002" s="124"/>
      <c r="W1002" s="125"/>
      <c r="AJ1002" s="126"/>
      <c r="AK1002" s="126"/>
      <c r="AL1002" s="122"/>
    </row>
    <row r="1003">
      <c r="C1003" s="127"/>
      <c r="D1003" s="127"/>
      <c r="E1003" s="127"/>
      <c r="F1003" s="127"/>
      <c r="G1003" s="127"/>
      <c r="H1003" s="123"/>
      <c r="I1003" s="123"/>
      <c r="J1003" s="123"/>
      <c r="K1003" s="123"/>
      <c r="L1003" s="123"/>
      <c r="M1003" s="123"/>
      <c r="N1003" s="123"/>
      <c r="O1003" s="123"/>
      <c r="P1003" s="123"/>
      <c r="Q1003" s="123"/>
      <c r="U1003" s="124"/>
      <c r="W1003" s="125"/>
      <c r="AJ1003" s="126"/>
      <c r="AK1003" s="126"/>
      <c r="AL1003" s="122"/>
    </row>
  </sheetData>
  <mergeCells count="3">
    <mergeCell ref="B1:B2"/>
    <mergeCell ref="A1:A2"/>
    <mergeCell ref="C1:G1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25"/>
    <col customWidth="1" min="2" max="2" width="18.88"/>
    <col customWidth="1" min="3" max="9" width="6.88"/>
    <col customWidth="1" min="10" max="26" width="6.13"/>
    <col customWidth="1" min="31" max="31" width="15.25"/>
  </cols>
  <sheetData>
    <row r="1" ht="28.5" customHeight="1">
      <c r="A1" s="1" t="s">
        <v>0</v>
      </c>
      <c r="B1" s="1" t="s">
        <v>1</v>
      </c>
      <c r="C1" s="128" t="s">
        <v>3</v>
      </c>
      <c r="D1" s="128" t="s">
        <v>4</v>
      </c>
      <c r="E1" s="128" t="s">
        <v>5</v>
      </c>
      <c r="F1" s="128" t="s">
        <v>6</v>
      </c>
      <c r="G1" s="128" t="s">
        <v>7</v>
      </c>
      <c r="H1" s="128" t="s">
        <v>8</v>
      </c>
      <c r="I1" s="128" t="s">
        <v>9</v>
      </c>
      <c r="J1" s="128" t="s">
        <v>10</v>
      </c>
      <c r="K1" s="128" t="s">
        <v>11</v>
      </c>
      <c r="L1" s="128" t="s">
        <v>12</v>
      </c>
      <c r="M1" s="1" t="s">
        <v>13</v>
      </c>
      <c r="N1" s="1" t="s">
        <v>14</v>
      </c>
      <c r="O1" s="1" t="s">
        <v>15</v>
      </c>
      <c r="P1" s="2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29" t="s">
        <v>31</v>
      </c>
      <c r="AB1" s="1" t="s">
        <v>32</v>
      </c>
      <c r="AC1" s="130" t="s">
        <v>33</v>
      </c>
      <c r="AD1" s="6"/>
      <c r="AE1" s="6"/>
      <c r="AF1" s="6"/>
    </row>
    <row r="2">
      <c r="A2" s="7"/>
      <c r="B2" s="7"/>
      <c r="C2" s="131" t="s">
        <v>570</v>
      </c>
      <c r="D2" s="131">
        <f t="shared" ref="D2:P2" si="1">COUNTA(D3:D1001)</f>
        <v>28</v>
      </c>
      <c r="E2" s="131">
        <f t="shared" si="1"/>
        <v>19</v>
      </c>
      <c r="F2" s="131">
        <f t="shared" si="1"/>
        <v>10</v>
      </c>
      <c r="G2" s="131">
        <f t="shared" si="1"/>
        <v>18</v>
      </c>
      <c r="H2" s="131">
        <f t="shared" si="1"/>
        <v>24</v>
      </c>
      <c r="I2" s="131">
        <f t="shared" si="1"/>
        <v>12</v>
      </c>
      <c r="J2" s="131">
        <f t="shared" si="1"/>
        <v>26</v>
      </c>
      <c r="K2" s="131">
        <f t="shared" si="1"/>
        <v>32</v>
      </c>
      <c r="L2" s="131">
        <f t="shared" si="1"/>
        <v>21</v>
      </c>
      <c r="M2" s="9">
        <f t="shared" si="1"/>
        <v>23</v>
      </c>
      <c r="N2" s="9">
        <f t="shared" si="1"/>
        <v>17</v>
      </c>
      <c r="O2" s="9">
        <f t="shared" si="1"/>
        <v>21</v>
      </c>
      <c r="P2" s="10">
        <f t="shared" si="1"/>
        <v>55</v>
      </c>
      <c r="Q2" s="9">
        <v>18.0</v>
      </c>
      <c r="R2" s="9">
        <f t="shared" ref="R2:Z2" si="2">COUNTA(R3:R1001)</f>
        <v>10</v>
      </c>
      <c r="S2" s="9">
        <f t="shared" si="2"/>
        <v>19</v>
      </c>
      <c r="T2" s="9">
        <f t="shared" si="2"/>
        <v>29</v>
      </c>
      <c r="U2" s="9">
        <f t="shared" si="2"/>
        <v>33</v>
      </c>
      <c r="V2" s="9">
        <f t="shared" si="2"/>
        <v>24</v>
      </c>
      <c r="W2" s="9">
        <f t="shared" si="2"/>
        <v>18</v>
      </c>
      <c r="X2" s="9">
        <f t="shared" si="2"/>
        <v>23</v>
      </c>
      <c r="Y2" s="9">
        <f t="shared" si="2"/>
        <v>8</v>
      </c>
      <c r="Z2" s="9">
        <f t="shared" si="2"/>
        <v>14</v>
      </c>
      <c r="AA2" s="132">
        <v>70.0</v>
      </c>
      <c r="AB2" s="132" t="s">
        <v>39</v>
      </c>
      <c r="AC2" s="133">
        <v>24.0</v>
      </c>
      <c r="AD2" s="12"/>
      <c r="AE2" s="12"/>
      <c r="AF2" s="12"/>
      <c r="AG2" s="13"/>
      <c r="AH2" s="13"/>
      <c r="AI2" s="13"/>
      <c r="AJ2" s="13"/>
      <c r="AK2" s="13"/>
      <c r="AL2" s="13"/>
      <c r="AM2" s="13"/>
    </row>
    <row r="3">
      <c r="A3" s="14">
        <v>1.0</v>
      </c>
      <c r="B3" s="15" t="s">
        <v>40</v>
      </c>
      <c r="C3" s="134">
        <v>7.5</v>
      </c>
      <c r="D3" s="135">
        <v>10.0</v>
      </c>
      <c r="E3" s="136">
        <v>5.0</v>
      </c>
      <c r="F3" s="136">
        <v>10.0</v>
      </c>
      <c r="G3" s="136"/>
      <c r="H3" s="134">
        <v>7.5</v>
      </c>
      <c r="I3" s="134">
        <v>7.5</v>
      </c>
      <c r="J3" s="137">
        <v>5.0</v>
      </c>
      <c r="K3" s="134">
        <v>7.5</v>
      </c>
      <c r="L3" s="134">
        <v>7.5</v>
      </c>
      <c r="M3" s="18">
        <v>7.5</v>
      </c>
      <c r="N3" s="18">
        <v>7.5</v>
      </c>
      <c r="O3" s="20">
        <v>5.0</v>
      </c>
      <c r="P3" s="20">
        <v>5.0</v>
      </c>
      <c r="Q3" s="18">
        <v>2.5</v>
      </c>
      <c r="R3" s="20">
        <v>10.0</v>
      </c>
      <c r="S3" s="20">
        <v>5.0</v>
      </c>
      <c r="T3" s="18">
        <v>7.5</v>
      </c>
      <c r="U3" s="18">
        <v>7.5</v>
      </c>
      <c r="V3" s="20">
        <v>5.0</v>
      </c>
      <c r="W3" s="18">
        <v>7.5</v>
      </c>
      <c r="X3" s="21">
        <v>5.0</v>
      </c>
      <c r="Y3" s="22">
        <v>10.0</v>
      </c>
      <c r="Z3" s="21">
        <v>5.0</v>
      </c>
      <c r="AA3" s="84">
        <f t="shared" ref="AA3:AA150" si="3">sum(M3:Z3)</f>
        <v>90</v>
      </c>
      <c r="AB3" s="138">
        <f t="shared" ref="AB3:AB150" si="4">AA3/70%</f>
        <v>128.5714286</v>
      </c>
      <c r="AC3" s="139">
        <f t="shared" ref="AC3:AC150" si="5">COUNTIFS(C3:Z3, "&gt;=5")</f>
        <v>22</v>
      </c>
      <c r="AD3" s="28"/>
      <c r="AE3" s="28"/>
      <c r="AF3" s="28"/>
    </row>
    <row r="4">
      <c r="A4" s="29">
        <v>2.0</v>
      </c>
      <c r="B4" s="30" t="s">
        <v>44</v>
      </c>
      <c r="C4" s="136">
        <v>5.0</v>
      </c>
      <c r="D4" s="136">
        <v>5.0</v>
      </c>
      <c r="E4" s="136">
        <v>5.0</v>
      </c>
      <c r="F4" s="136">
        <v>10.0</v>
      </c>
      <c r="G4" s="140"/>
      <c r="H4" s="140"/>
      <c r="I4" s="140"/>
      <c r="J4" s="141"/>
      <c r="K4" s="142"/>
      <c r="L4" s="143"/>
      <c r="M4" s="35"/>
      <c r="N4" s="35"/>
      <c r="O4" s="35"/>
      <c r="P4" s="36"/>
      <c r="Q4" s="35"/>
      <c r="R4" s="35"/>
      <c r="S4" s="35"/>
      <c r="T4" s="35"/>
      <c r="U4" s="35"/>
      <c r="V4" s="35"/>
      <c r="W4" s="35"/>
      <c r="X4" s="37"/>
      <c r="Y4" s="38"/>
      <c r="Z4" s="37"/>
      <c r="AA4" s="84">
        <f t="shared" si="3"/>
        <v>0</v>
      </c>
      <c r="AB4" s="144">
        <f t="shared" si="4"/>
        <v>0</v>
      </c>
      <c r="AC4" s="139">
        <f t="shared" si="5"/>
        <v>4</v>
      </c>
      <c r="AD4" s="28"/>
      <c r="AE4" s="28"/>
      <c r="AF4" s="28"/>
    </row>
    <row r="5">
      <c r="A5" s="14">
        <v>3.0</v>
      </c>
      <c r="B5" s="145" t="s">
        <v>48</v>
      </c>
      <c r="C5" s="146">
        <v>7.5</v>
      </c>
      <c r="D5" s="136">
        <v>5.0</v>
      </c>
      <c r="E5" s="134">
        <v>7.5</v>
      </c>
      <c r="F5" s="140"/>
      <c r="G5" s="146">
        <v>7.5</v>
      </c>
      <c r="H5" s="136">
        <v>5.0</v>
      </c>
      <c r="I5" s="136">
        <v>5.0</v>
      </c>
      <c r="J5" s="137">
        <v>5.0</v>
      </c>
      <c r="K5" s="136">
        <v>5.0</v>
      </c>
      <c r="L5" s="147"/>
      <c r="M5" s="20"/>
      <c r="N5" s="20"/>
      <c r="O5" s="20">
        <v>5.0</v>
      </c>
      <c r="P5" s="36">
        <v>5.0</v>
      </c>
      <c r="Q5" s="35"/>
      <c r="R5" s="35"/>
      <c r="S5" s="35"/>
      <c r="T5" s="35">
        <v>5.0</v>
      </c>
      <c r="U5" s="35">
        <v>5.0</v>
      </c>
      <c r="V5" s="35">
        <v>5.0</v>
      </c>
      <c r="W5" s="35"/>
      <c r="X5" s="35">
        <v>5.0</v>
      </c>
      <c r="Y5" s="35"/>
      <c r="Z5" s="35"/>
      <c r="AA5" s="84">
        <f t="shared" si="3"/>
        <v>30</v>
      </c>
      <c r="AB5" s="144">
        <f t="shared" si="4"/>
        <v>42.85714286</v>
      </c>
      <c r="AC5" s="139">
        <f t="shared" si="5"/>
        <v>14</v>
      </c>
      <c r="AD5" s="28"/>
      <c r="AE5" s="28"/>
      <c r="AF5" s="28"/>
    </row>
    <row r="6">
      <c r="A6" s="29">
        <v>4.0</v>
      </c>
      <c r="B6" s="30" t="s">
        <v>52</v>
      </c>
      <c r="C6" s="136">
        <v>5.0</v>
      </c>
      <c r="D6" s="136">
        <v>5.0</v>
      </c>
      <c r="E6" s="136">
        <v>5.0</v>
      </c>
      <c r="F6" s="140"/>
      <c r="G6" s="134">
        <v>7.5</v>
      </c>
      <c r="H6" s="140"/>
      <c r="I6" s="140"/>
      <c r="J6" s="141"/>
      <c r="K6" s="142"/>
      <c r="L6" s="142"/>
      <c r="M6" s="35"/>
      <c r="N6" s="35"/>
      <c r="O6" s="38"/>
      <c r="P6" s="36"/>
      <c r="Q6" s="35"/>
      <c r="R6" s="35"/>
      <c r="S6" s="35"/>
      <c r="T6" s="35"/>
      <c r="U6" s="35"/>
      <c r="V6" s="35"/>
      <c r="W6" s="35"/>
      <c r="X6" s="35"/>
      <c r="Y6" s="35"/>
      <c r="Z6" s="35"/>
      <c r="AA6" s="84">
        <f t="shared" si="3"/>
        <v>0</v>
      </c>
      <c r="AB6" s="144">
        <f t="shared" si="4"/>
        <v>0</v>
      </c>
      <c r="AC6" s="139">
        <f t="shared" si="5"/>
        <v>4</v>
      </c>
      <c r="AD6" s="28"/>
      <c r="AE6" s="28"/>
      <c r="AF6" s="28"/>
    </row>
    <row r="7">
      <c r="A7" s="47">
        <v>5.0</v>
      </c>
      <c r="B7" s="48" t="s">
        <v>56</v>
      </c>
      <c r="C7" s="148">
        <v>5.0</v>
      </c>
      <c r="D7" s="149"/>
      <c r="E7" s="148">
        <v>5.0</v>
      </c>
      <c r="F7" s="149"/>
      <c r="G7" s="148">
        <v>5.0</v>
      </c>
      <c r="H7" s="148">
        <v>5.0</v>
      </c>
      <c r="I7" s="150">
        <v>7.5</v>
      </c>
      <c r="J7" s="151">
        <v>7.5</v>
      </c>
      <c r="K7" s="136">
        <v>5.0</v>
      </c>
      <c r="L7" s="136">
        <v>5.0</v>
      </c>
      <c r="M7" s="45"/>
      <c r="N7" s="20"/>
      <c r="O7" s="20"/>
      <c r="P7" s="36">
        <v>5.0</v>
      </c>
      <c r="Q7" s="35"/>
      <c r="R7" s="35">
        <v>10.0</v>
      </c>
      <c r="S7" s="35"/>
      <c r="T7" s="52"/>
      <c r="U7" s="52"/>
      <c r="V7" s="52"/>
      <c r="W7" s="35"/>
      <c r="X7" s="35"/>
      <c r="Y7" s="35">
        <v>10.0</v>
      </c>
      <c r="Z7" s="35"/>
      <c r="AA7" s="84">
        <f t="shared" si="3"/>
        <v>25</v>
      </c>
      <c r="AB7" s="144">
        <f t="shared" si="4"/>
        <v>35.71428571</v>
      </c>
      <c r="AC7" s="139">
        <f t="shared" si="5"/>
        <v>11</v>
      </c>
      <c r="AD7" s="53">
        <f>70*75%</f>
        <v>52.5</v>
      </c>
      <c r="AE7" s="54" t="s">
        <v>60</v>
      </c>
      <c r="AF7" s="28"/>
    </row>
    <row r="8">
      <c r="A8" s="14">
        <v>6.0</v>
      </c>
      <c r="B8" s="15" t="s">
        <v>61</v>
      </c>
      <c r="C8" s="148">
        <v>5.0</v>
      </c>
      <c r="D8" s="148">
        <v>5.0</v>
      </c>
      <c r="E8" s="148">
        <v>5.0</v>
      </c>
      <c r="F8" s="149"/>
      <c r="G8" s="148">
        <v>5.0</v>
      </c>
      <c r="H8" s="149"/>
      <c r="I8" s="149"/>
      <c r="J8" s="152">
        <v>5.0</v>
      </c>
      <c r="K8" s="148">
        <v>5.0</v>
      </c>
      <c r="L8" s="148">
        <v>5.0</v>
      </c>
      <c r="M8" s="35">
        <v>5.0</v>
      </c>
      <c r="N8" s="35">
        <v>5.0</v>
      </c>
      <c r="O8" s="38">
        <v>5.0</v>
      </c>
      <c r="P8" s="55">
        <v>5.0</v>
      </c>
      <c r="Q8" s="44">
        <v>7.5</v>
      </c>
      <c r="R8" s="20">
        <v>10.0</v>
      </c>
      <c r="S8" s="20"/>
      <c r="T8" s="55">
        <v>5.0</v>
      </c>
      <c r="U8" s="20"/>
      <c r="V8" s="18">
        <v>7.5</v>
      </c>
      <c r="W8" s="56">
        <v>5.0</v>
      </c>
      <c r="X8" s="57">
        <v>7.5</v>
      </c>
      <c r="Y8" s="56"/>
      <c r="Z8" s="22">
        <v>7.5</v>
      </c>
      <c r="AA8" s="84">
        <f t="shared" si="3"/>
        <v>70</v>
      </c>
      <c r="AB8" s="138">
        <f t="shared" si="4"/>
        <v>100</v>
      </c>
      <c r="AC8" s="139">
        <f t="shared" si="5"/>
        <v>18</v>
      </c>
      <c r="AD8" s="59">
        <v>10.0</v>
      </c>
      <c r="AE8" s="59" t="s">
        <v>65</v>
      </c>
      <c r="AF8" s="28"/>
    </row>
    <row r="9">
      <c r="A9" s="37">
        <v>7.0</v>
      </c>
      <c r="B9" s="60" t="s">
        <v>66</v>
      </c>
      <c r="C9" s="148">
        <v>5.0</v>
      </c>
      <c r="D9" s="149"/>
      <c r="E9" s="149"/>
      <c r="F9" s="149"/>
      <c r="G9" s="148">
        <v>5.0</v>
      </c>
      <c r="H9" s="149"/>
      <c r="I9" s="149"/>
      <c r="J9" s="141"/>
      <c r="K9" s="142"/>
      <c r="L9" s="142"/>
      <c r="M9" s="35">
        <v>5.0</v>
      </c>
      <c r="N9" s="35"/>
      <c r="O9" s="38"/>
      <c r="P9" s="36"/>
      <c r="Q9" s="35"/>
      <c r="R9" s="35"/>
      <c r="S9" s="35"/>
      <c r="T9" s="35"/>
      <c r="U9" s="35">
        <v>5.0</v>
      </c>
      <c r="V9" s="35">
        <v>5.0</v>
      </c>
      <c r="W9" s="37"/>
      <c r="X9" s="37">
        <v>5.0</v>
      </c>
      <c r="Y9" s="37"/>
      <c r="Z9" s="37"/>
      <c r="AA9" s="84">
        <f t="shared" si="3"/>
        <v>20</v>
      </c>
      <c r="AB9" s="144">
        <f t="shared" si="4"/>
        <v>28.57142857</v>
      </c>
      <c r="AC9" s="139">
        <f t="shared" si="5"/>
        <v>6</v>
      </c>
      <c r="AD9" s="54">
        <v>5.0</v>
      </c>
      <c r="AE9" s="54" t="s">
        <v>70</v>
      </c>
      <c r="AF9" s="28"/>
    </row>
    <row r="10">
      <c r="A10" s="37">
        <v>8.0</v>
      </c>
      <c r="B10" s="60" t="s">
        <v>71</v>
      </c>
      <c r="C10" s="148">
        <v>5.0</v>
      </c>
      <c r="D10" s="149"/>
      <c r="E10" s="149"/>
      <c r="F10" s="149"/>
      <c r="G10" s="148">
        <v>5.0</v>
      </c>
      <c r="H10" s="148">
        <v>5.0</v>
      </c>
      <c r="I10" s="148">
        <v>5.0</v>
      </c>
      <c r="J10" s="141"/>
      <c r="K10" s="148">
        <v>5.0</v>
      </c>
      <c r="L10" s="148">
        <v>5.0</v>
      </c>
      <c r="M10" s="35"/>
      <c r="N10" s="35"/>
      <c r="O10" s="38"/>
      <c r="P10" s="36">
        <v>5.0</v>
      </c>
      <c r="Q10" s="35"/>
      <c r="R10" s="35">
        <v>10.0</v>
      </c>
      <c r="S10" s="35"/>
      <c r="T10" s="35"/>
      <c r="U10" s="35"/>
      <c r="V10" s="35"/>
      <c r="W10" s="35"/>
      <c r="X10" s="35"/>
      <c r="Y10" s="35">
        <v>10.0</v>
      </c>
      <c r="Z10" s="35"/>
      <c r="AA10" s="84">
        <f t="shared" si="3"/>
        <v>25</v>
      </c>
      <c r="AB10" s="144">
        <f t="shared" si="4"/>
        <v>35.71428571</v>
      </c>
      <c r="AC10" s="139">
        <f t="shared" si="5"/>
        <v>9</v>
      </c>
      <c r="AD10" s="61" t="s">
        <v>571</v>
      </c>
      <c r="AE10" s="61" t="s">
        <v>76</v>
      </c>
      <c r="AF10" s="28"/>
    </row>
    <row r="11">
      <c r="A11" s="37">
        <v>9.0</v>
      </c>
      <c r="B11" s="60" t="s">
        <v>77</v>
      </c>
      <c r="C11" s="148">
        <v>5.0</v>
      </c>
      <c r="D11" s="149"/>
      <c r="E11" s="149"/>
      <c r="F11" s="149"/>
      <c r="G11" s="149"/>
      <c r="H11" s="149"/>
      <c r="I11" s="149"/>
      <c r="J11" s="141"/>
      <c r="K11" s="142"/>
      <c r="L11" s="142"/>
      <c r="M11" s="35"/>
      <c r="N11" s="35"/>
      <c r="O11" s="38"/>
      <c r="P11" s="36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84">
        <f t="shared" si="3"/>
        <v>0</v>
      </c>
      <c r="AB11" s="144">
        <f t="shared" si="4"/>
        <v>0</v>
      </c>
      <c r="AC11" s="139">
        <f t="shared" si="5"/>
        <v>1</v>
      </c>
      <c r="AD11" s="62" t="s">
        <v>572</v>
      </c>
      <c r="AE11" s="62" t="s">
        <v>81</v>
      </c>
      <c r="AF11" s="28"/>
    </row>
    <row r="12">
      <c r="A12" s="14">
        <v>10.0</v>
      </c>
      <c r="B12" s="15" t="s">
        <v>573</v>
      </c>
      <c r="C12" s="148">
        <v>5.0</v>
      </c>
      <c r="D12" s="148">
        <v>5.0</v>
      </c>
      <c r="E12" s="148">
        <v>5.0</v>
      </c>
      <c r="F12" s="148">
        <v>10.0</v>
      </c>
      <c r="G12" s="149"/>
      <c r="H12" s="148">
        <v>5.0</v>
      </c>
      <c r="I12" s="148">
        <v>5.0</v>
      </c>
      <c r="J12" s="137">
        <v>5.0</v>
      </c>
      <c r="K12" s="153"/>
      <c r="L12" s="136">
        <v>5.0</v>
      </c>
      <c r="M12" s="20">
        <v>5.0</v>
      </c>
      <c r="N12" s="20">
        <v>5.0</v>
      </c>
      <c r="O12" s="20">
        <v>5.0</v>
      </c>
      <c r="P12" s="20">
        <v>5.0</v>
      </c>
      <c r="Q12" s="20"/>
      <c r="R12" s="20">
        <v>10.0</v>
      </c>
      <c r="S12" s="20">
        <v>5.0</v>
      </c>
      <c r="T12" s="20">
        <v>5.0</v>
      </c>
      <c r="U12" s="20">
        <v>5.0</v>
      </c>
      <c r="V12" s="20">
        <v>5.0</v>
      </c>
      <c r="W12" s="56">
        <v>5.0</v>
      </c>
      <c r="X12" s="56">
        <v>5.0</v>
      </c>
      <c r="Y12" s="56">
        <v>10.0</v>
      </c>
      <c r="Z12" s="56">
        <v>5.0</v>
      </c>
      <c r="AA12" s="84">
        <f t="shared" si="3"/>
        <v>75</v>
      </c>
      <c r="AB12" s="138">
        <f t="shared" si="4"/>
        <v>107.1428571</v>
      </c>
      <c r="AC12" s="139">
        <f t="shared" si="5"/>
        <v>21</v>
      </c>
      <c r="AD12" s="28"/>
      <c r="AE12" s="28"/>
      <c r="AF12" s="28"/>
    </row>
    <row r="13">
      <c r="A13" s="37">
        <v>11.0</v>
      </c>
      <c r="B13" s="60" t="s">
        <v>86</v>
      </c>
      <c r="C13" s="148">
        <v>5.0</v>
      </c>
      <c r="D13" s="148">
        <v>5.0</v>
      </c>
      <c r="E13" s="149"/>
      <c r="F13" s="149"/>
      <c r="G13" s="149"/>
      <c r="H13" s="148">
        <v>5.0</v>
      </c>
      <c r="I13" s="149"/>
      <c r="J13" s="141"/>
      <c r="K13" s="148">
        <v>5.0</v>
      </c>
      <c r="L13" s="148">
        <v>5.0</v>
      </c>
      <c r="M13" s="35">
        <v>5.0</v>
      </c>
      <c r="N13" s="35"/>
      <c r="O13" s="38"/>
      <c r="P13" s="36">
        <v>5.0</v>
      </c>
      <c r="Q13" s="35">
        <v>5.0</v>
      </c>
      <c r="R13" s="35"/>
      <c r="S13" s="35">
        <v>5.0</v>
      </c>
      <c r="T13" s="35"/>
      <c r="U13" s="35">
        <v>5.0</v>
      </c>
      <c r="V13" s="35"/>
      <c r="W13" s="37">
        <v>5.0</v>
      </c>
      <c r="X13" s="65">
        <v>7.5</v>
      </c>
      <c r="Y13" s="37">
        <v>10.0</v>
      </c>
      <c r="Z13" s="37"/>
      <c r="AA13" s="84">
        <f t="shared" si="3"/>
        <v>47.5</v>
      </c>
      <c r="AB13" s="144">
        <f t="shared" si="4"/>
        <v>67.85714286</v>
      </c>
      <c r="AC13" s="139">
        <f t="shared" si="5"/>
        <v>13</v>
      </c>
      <c r="AD13" s="66" t="s">
        <v>90</v>
      </c>
      <c r="AE13" s="67"/>
      <c r="AF13" s="28"/>
    </row>
    <row r="14">
      <c r="A14" s="37">
        <v>12.0</v>
      </c>
      <c r="B14" s="60" t="s">
        <v>91</v>
      </c>
      <c r="C14" s="148">
        <v>5.0</v>
      </c>
      <c r="D14" s="148">
        <v>5.0</v>
      </c>
      <c r="E14" s="149"/>
      <c r="F14" s="148">
        <v>10.0</v>
      </c>
      <c r="G14" s="149"/>
      <c r="H14" s="149"/>
      <c r="I14" s="149"/>
      <c r="J14" s="152">
        <v>5.0</v>
      </c>
      <c r="K14" s="148">
        <v>5.0</v>
      </c>
      <c r="L14" s="142"/>
      <c r="M14" s="35">
        <v>5.0</v>
      </c>
      <c r="N14" s="35">
        <v>5.0</v>
      </c>
      <c r="O14" s="38"/>
      <c r="P14" s="36">
        <v>5.0</v>
      </c>
      <c r="Q14" s="35"/>
      <c r="R14" s="35">
        <v>10.0</v>
      </c>
      <c r="S14" s="35"/>
      <c r="T14" s="35"/>
      <c r="U14" s="35"/>
      <c r="V14" s="35"/>
      <c r="W14" s="35"/>
      <c r="X14" s="35"/>
      <c r="Y14" s="35">
        <v>10.0</v>
      </c>
      <c r="Z14" s="35"/>
      <c r="AA14" s="84">
        <f t="shared" si="3"/>
        <v>35</v>
      </c>
      <c r="AB14" s="144">
        <f t="shared" si="4"/>
        <v>50</v>
      </c>
      <c r="AC14" s="139">
        <f t="shared" si="5"/>
        <v>10</v>
      </c>
      <c r="AD14" s="68" t="s">
        <v>95</v>
      </c>
      <c r="AE14" s="69"/>
      <c r="AF14" s="28"/>
    </row>
    <row r="15">
      <c r="A15" s="37">
        <v>13.0</v>
      </c>
      <c r="B15" s="60" t="s">
        <v>96</v>
      </c>
      <c r="C15" s="148">
        <v>5.0</v>
      </c>
      <c r="D15" s="149"/>
      <c r="E15" s="149"/>
      <c r="F15" s="149"/>
      <c r="G15" s="149"/>
      <c r="H15" s="149"/>
      <c r="I15" s="149"/>
      <c r="J15" s="141"/>
      <c r="K15" s="142"/>
      <c r="L15" s="142"/>
      <c r="M15" s="35"/>
      <c r="N15" s="35"/>
      <c r="O15" s="38"/>
      <c r="P15" s="36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84">
        <f t="shared" si="3"/>
        <v>0</v>
      </c>
      <c r="AB15" s="144">
        <f t="shared" si="4"/>
        <v>0</v>
      </c>
      <c r="AC15" s="139">
        <f t="shared" si="5"/>
        <v>1</v>
      </c>
      <c r="AD15" s="28"/>
      <c r="AE15" s="28"/>
      <c r="AF15" s="28"/>
    </row>
    <row r="16">
      <c r="A16" s="37">
        <v>14.0</v>
      </c>
      <c r="B16" s="60" t="s">
        <v>100</v>
      </c>
      <c r="C16" s="148">
        <v>5.0</v>
      </c>
      <c r="D16" s="149"/>
      <c r="E16" s="149"/>
      <c r="F16" s="149"/>
      <c r="G16" s="149"/>
      <c r="H16" s="149"/>
      <c r="I16" s="149"/>
      <c r="J16" s="152">
        <v>5.0</v>
      </c>
      <c r="K16" s="142"/>
      <c r="L16" s="142"/>
      <c r="M16" s="35"/>
      <c r="N16" s="35"/>
      <c r="O16" s="38"/>
      <c r="P16" s="36"/>
      <c r="Q16" s="35"/>
      <c r="R16" s="35"/>
      <c r="S16" s="35"/>
      <c r="T16" s="35"/>
      <c r="U16" s="35"/>
      <c r="V16" s="35">
        <v>5.0</v>
      </c>
      <c r="W16" s="35"/>
      <c r="X16" s="35"/>
      <c r="Y16" s="35"/>
      <c r="Z16" s="35"/>
      <c r="AA16" s="84">
        <f t="shared" si="3"/>
        <v>5</v>
      </c>
      <c r="AB16" s="144">
        <f t="shared" si="4"/>
        <v>7.142857143</v>
      </c>
      <c r="AC16" s="139">
        <f t="shared" si="5"/>
        <v>3</v>
      </c>
      <c r="AD16" s="28"/>
      <c r="AE16" s="28"/>
      <c r="AF16" s="28"/>
    </row>
    <row r="17">
      <c r="A17" s="37">
        <v>15.0</v>
      </c>
      <c r="B17" s="60" t="s">
        <v>104</v>
      </c>
      <c r="C17" s="148">
        <v>5.0</v>
      </c>
      <c r="D17" s="148">
        <v>5.0</v>
      </c>
      <c r="E17" s="148">
        <v>5.0</v>
      </c>
      <c r="F17" s="149"/>
      <c r="G17" s="149"/>
      <c r="H17" s="149"/>
      <c r="I17" s="149"/>
      <c r="J17" s="152">
        <v>5.0</v>
      </c>
      <c r="K17" s="148">
        <v>5.0</v>
      </c>
      <c r="L17" s="148">
        <v>5.0</v>
      </c>
      <c r="M17" s="35"/>
      <c r="N17" s="35"/>
      <c r="O17" s="38"/>
      <c r="P17" s="36">
        <v>5.0</v>
      </c>
      <c r="Q17" s="35">
        <v>5.0</v>
      </c>
      <c r="R17" s="35"/>
      <c r="S17" s="35">
        <v>5.0</v>
      </c>
      <c r="T17" s="35">
        <v>5.0</v>
      </c>
      <c r="U17" s="35">
        <v>5.0</v>
      </c>
      <c r="V17" s="35"/>
      <c r="W17" s="35"/>
      <c r="X17" s="35">
        <v>5.0</v>
      </c>
      <c r="Y17" s="35"/>
      <c r="Z17" s="35"/>
      <c r="AA17" s="84">
        <f t="shared" si="3"/>
        <v>30</v>
      </c>
      <c r="AB17" s="144">
        <f t="shared" si="4"/>
        <v>42.85714286</v>
      </c>
      <c r="AC17" s="139">
        <f t="shared" si="5"/>
        <v>12</v>
      </c>
      <c r="AD17" s="28"/>
      <c r="AE17" s="28"/>
      <c r="AF17" s="28"/>
    </row>
    <row r="18">
      <c r="A18" s="37">
        <v>16.0</v>
      </c>
      <c r="B18" s="60" t="s">
        <v>108</v>
      </c>
      <c r="C18" s="148">
        <v>5.0</v>
      </c>
      <c r="D18" s="149"/>
      <c r="E18" s="149"/>
      <c r="F18" s="149"/>
      <c r="G18" s="149"/>
      <c r="H18" s="149"/>
      <c r="I18" s="149"/>
      <c r="J18" s="141"/>
      <c r="K18" s="148">
        <v>5.0</v>
      </c>
      <c r="L18" s="142"/>
      <c r="M18" s="35"/>
      <c r="N18" s="35"/>
      <c r="O18" s="38"/>
      <c r="P18" s="36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84">
        <f t="shared" si="3"/>
        <v>0</v>
      </c>
      <c r="AB18" s="144">
        <f t="shared" si="4"/>
        <v>0</v>
      </c>
      <c r="AC18" s="139">
        <f t="shared" si="5"/>
        <v>2</v>
      </c>
      <c r="AD18" s="28"/>
      <c r="AE18" s="28"/>
      <c r="AF18" s="28"/>
    </row>
    <row r="19">
      <c r="A19" s="47">
        <v>17.0</v>
      </c>
      <c r="B19" s="48" t="s">
        <v>112</v>
      </c>
      <c r="C19" s="154">
        <v>5.0</v>
      </c>
      <c r="D19" s="155"/>
      <c r="E19" s="155"/>
      <c r="F19" s="155"/>
      <c r="G19" s="154">
        <v>5.0</v>
      </c>
      <c r="H19" s="155"/>
      <c r="I19" s="154">
        <v>5.0</v>
      </c>
      <c r="J19" s="156"/>
      <c r="K19" s="154">
        <v>5.0</v>
      </c>
      <c r="L19" s="157"/>
      <c r="M19" s="56"/>
      <c r="N19" s="56"/>
      <c r="O19" s="21">
        <v>5.0</v>
      </c>
      <c r="P19" s="36">
        <v>5.0</v>
      </c>
      <c r="Q19" s="35"/>
      <c r="R19" s="35"/>
      <c r="S19" s="35"/>
      <c r="T19" s="35">
        <v>5.0</v>
      </c>
      <c r="U19" s="35"/>
      <c r="V19" s="35"/>
      <c r="W19" s="35"/>
      <c r="X19" s="35"/>
      <c r="Y19" s="35"/>
      <c r="Z19" s="35"/>
      <c r="AA19" s="84">
        <f t="shared" si="3"/>
        <v>15</v>
      </c>
      <c r="AB19" s="144">
        <f t="shared" si="4"/>
        <v>21.42857143</v>
      </c>
      <c r="AC19" s="139">
        <f t="shared" si="5"/>
        <v>7</v>
      </c>
      <c r="AD19" s="28"/>
      <c r="AE19" s="28"/>
      <c r="AF19" s="28"/>
    </row>
    <row r="20">
      <c r="A20" s="14">
        <v>18.0</v>
      </c>
      <c r="B20" s="145" t="s">
        <v>117</v>
      </c>
      <c r="C20" s="148">
        <v>5.0</v>
      </c>
      <c r="D20" s="148">
        <v>5.0</v>
      </c>
      <c r="E20" s="148">
        <v>5.0</v>
      </c>
      <c r="F20" s="149"/>
      <c r="G20" s="148">
        <v>5.0</v>
      </c>
      <c r="H20" s="148">
        <v>5.0</v>
      </c>
      <c r="I20" s="148">
        <v>5.0</v>
      </c>
      <c r="J20" s="137">
        <v>5.0</v>
      </c>
      <c r="K20" s="136">
        <v>5.0</v>
      </c>
      <c r="L20" s="136">
        <v>5.0</v>
      </c>
      <c r="M20" s="20">
        <v>5.0</v>
      </c>
      <c r="N20" s="20">
        <v>5.0</v>
      </c>
      <c r="O20" s="20">
        <v>5.0</v>
      </c>
      <c r="P20" s="20">
        <v>5.0</v>
      </c>
      <c r="Q20" s="20">
        <v>5.0</v>
      </c>
      <c r="R20" s="20"/>
      <c r="S20" s="20">
        <v>5.0</v>
      </c>
      <c r="T20" s="20">
        <v>5.0</v>
      </c>
      <c r="U20" s="20">
        <v>5.0</v>
      </c>
      <c r="V20" s="20">
        <v>5.0</v>
      </c>
      <c r="W20" s="56"/>
      <c r="X20" s="56">
        <v>5.0</v>
      </c>
      <c r="Y20" s="56"/>
      <c r="Z20" s="56"/>
      <c r="AA20" s="84">
        <f t="shared" si="3"/>
        <v>50</v>
      </c>
      <c r="AB20" s="144">
        <f t="shared" si="4"/>
        <v>71.42857143</v>
      </c>
      <c r="AC20" s="139">
        <f t="shared" si="5"/>
        <v>19</v>
      </c>
      <c r="AD20" s="28"/>
      <c r="AE20" s="28"/>
      <c r="AF20" s="28"/>
    </row>
    <row r="21">
      <c r="A21" s="37">
        <v>19.0</v>
      </c>
      <c r="B21" s="60" t="s">
        <v>121</v>
      </c>
      <c r="C21" s="148">
        <v>5.0</v>
      </c>
      <c r="D21" s="148">
        <v>5.0</v>
      </c>
      <c r="E21" s="149"/>
      <c r="F21" s="149"/>
      <c r="G21" s="149"/>
      <c r="H21" s="149"/>
      <c r="I21" s="149"/>
      <c r="J21" s="141"/>
      <c r="K21" s="142"/>
      <c r="L21" s="142"/>
      <c r="M21" s="35">
        <v>5.0</v>
      </c>
      <c r="N21" s="35"/>
      <c r="O21" s="38"/>
      <c r="P21" s="36"/>
      <c r="Q21" s="35"/>
      <c r="R21" s="35"/>
      <c r="S21" s="35"/>
      <c r="T21" s="35"/>
      <c r="U21" s="35"/>
      <c r="V21" s="35"/>
      <c r="W21" s="37"/>
      <c r="X21" s="37">
        <v>5.0</v>
      </c>
      <c r="Y21" s="37"/>
      <c r="Z21" s="37"/>
      <c r="AA21" s="84">
        <f t="shared" si="3"/>
        <v>10</v>
      </c>
      <c r="AB21" s="144">
        <f t="shared" si="4"/>
        <v>14.28571429</v>
      </c>
      <c r="AC21" s="139">
        <f t="shared" si="5"/>
        <v>4</v>
      </c>
      <c r="AD21" s="28"/>
      <c r="AE21" s="28"/>
      <c r="AF21" s="28"/>
    </row>
    <row r="22">
      <c r="A22" s="14">
        <v>20.0</v>
      </c>
      <c r="B22" s="15" t="s">
        <v>574</v>
      </c>
      <c r="C22" s="148">
        <v>5.0</v>
      </c>
      <c r="D22" s="148">
        <v>5.0</v>
      </c>
      <c r="E22" s="150">
        <v>7.5</v>
      </c>
      <c r="F22" s="148">
        <v>10.0</v>
      </c>
      <c r="G22" s="149"/>
      <c r="H22" s="150">
        <v>7.5</v>
      </c>
      <c r="I22" s="148">
        <v>5.0</v>
      </c>
      <c r="J22" s="158"/>
      <c r="K22" s="146">
        <v>7.5</v>
      </c>
      <c r="L22" s="146">
        <v>7.5</v>
      </c>
      <c r="M22" s="20"/>
      <c r="N22" s="20">
        <v>5.0</v>
      </c>
      <c r="O22" s="76">
        <v>7.5</v>
      </c>
      <c r="P22" s="76">
        <v>10.0</v>
      </c>
      <c r="Q22" s="55">
        <v>5.0</v>
      </c>
      <c r="R22" s="55">
        <v>10.0</v>
      </c>
      <c r="S22" s="55"/>
      <c r="T22" s="55"/>
      <c r="U22" s="55">
        <v>5.0</v>
      </c>
      <c r="V22" s="55">
        <v>5.0</v>
      </c>
      <c r="W22" s="57">
        <v>7.5</v>
      </c>
      <c r="X22" s="56"/>
      <c r="Y22" s="56">
        <v>10.0</v>
      </c>
      <c r="Z22" s="57">
        <v>7.5</v>
      </c>
      <c r="AA22" s="84">
        <f t="shared" si="3"/>
        <v>72.5</v>
      </c>
      <c r="AB22" s="138">
        <f t="shared" si="4"/>
        <v>103.5714286</v>
      </c>
      <c r="AC22" s="139">
        <f t="shared" si="5"/>
        <v>18</v>
      </c>
      <c r="AD22" s="28"/>
      <c r="AE22" s="28"/>
      <c r="AF22" s="28"/>
    </row>
    <row r="23">
      <c r="A23" s="14">
        <v>21.0</v>
      </c>
      <c r="B23" s="15" t="s">
        <v>129</v>
      </c>
      <c r="C23" s="148">
        <v>5.0</v>
      </c>
      <c r="D23" s="148">
        <v>5.0</v>
      </c>
      <c r="E23" s="148">
        <v>5.0</v>
      </c>
      <c r="F23" s="150">
        <v>12.5</v>
      </c>
      <c r="G23" s="149"/>
      <c r="H23" s="148">
        <v>5.0</v>
      </c>
      <c r="I23" s="149"/>
      <c r="J23" s="159">
        <v>7.5</v>
      </c>
      <c r="K23" s="136">
        <v>5.0</v>
      </c>
      <c r="L23" s="136">
        <v>5.0</v>
      </c>
      <c r="M23" s="20">
        <v>5.0</v>
      </c>
      <c r="N23" s="44">
        <v>7.5</v>
      </c>
      <c r="O23" s="44">
        <v>7.5</v>
      </c>
      <c r="P23" s="20">
        <v>5.0</v>
      </c>
      <c r="Q23" s="20">
        <v>5.0</v>
      </c>
      <c r="R23" s="20"/>
      <c r="S23" s="76">
        <v>7.5</v>
      </c>
      <c r="T23" s="44">
        <v>7.5</v>
      </c>
      <c r="U23" s="55">
        <v>5.0</v>
      </c>
      <c r="V23" s="55">
        <v>5.0</v>
      </c>
      <c r="W23" s="79"/>
      <c r="X23" s="79">
        <v>5.0</v>
      </c>
      <c r="Y23" s="79"/>
      <c r="Z23" s="79"/>
      <c r="AA23" s="84">
        <f t="shared" si="3"/>
        <v>60</v>
      </c>
      <c r="AB23" s="138">
        <f t="shared" si="4"/>
        <v>85.71428571</v>
      </c>
      <c r="AC23" s="139">
        <f t="shared" si="5"/>
        <v>18</v>
      </c>
      <c r="AD23" s="28"/>
      <c r="AE23" s="28"/>
      <c r="AF23" s="28"/>
    </row>
    <row r="24">
      <c r="A24" s="37">
        <v>22.0</v>
      </c>
      <c r="B24" s="60" t="s">
        <v>133</v>
      </c>
      <c r="C24" s="148">
        <v>5.0</v>
      </c>
      <c r="D24" s="149"/>
      <c r="E24" s="149"/>
      <c r="F24" s="149"/>
      <c r="G24" s="149"/>
      <c r="H24" s="149"/>
      <c r="I24" s="149"/>
      <c r="J24" s="141"/>
      <c r="K24" s="142"/>
      <c r="L24" s="142"/>
      <c r="M24" s="35"/>
      <c r="N24" s="35"/>
      <c r="O24" s="38"/>
      <c r="P24" s="36"/>
      <c r="Q24" s="35"/>
      <c r="R24" s="35"/>
      <c r="S24" s="35"/>
      <c r="T24" s="35"/>
      <c r="U24" s="40"/>
      <c r="V24" s="35"/>
      <c r="W24" s="37"/>
      <c r="X24" s="37"/>
      <c r="Y24" s="37"/>
      <c r="Z24" s="37"/>
      <c r="AA24" s="84">
        <f t="shared" si="3"/>
        <v>0</v>
      </c>
      <c r="AB24" s="144">
        <f t="shared" si="4"/>
        <v>0</v>
      </c>
      <c r="AC24" s="139">
        <f t="shared" si="5"/>
        <v>1</v>
      </c>
      <c r="AD24" s="28"/>
      <c r="AE24" s="28"/>
      <c r="AF24" s="28"/>
    </row>
    <row r="25">
      <c r="A25" s="37">
        <v>23.0</v>
      </c>
      <c r="B25" s="60" t="s">
        <v>137</v>
      </c>
      <c r="C25" s="148">
        <v>5.0</v>
      </c>
      <c r="D25" s="148">
        <v>5.0</v>
      </c>
      <c r="E25" s="148">
        <v>5.0</v>
      </c>
      <c r="F25" s="149"/>
      <c r="G25" s="149"/>
      <c r="H25" s="148">
        <v>5.0</v>
      </c>
      <c r="I25" s="149"/>
      <c r="J25" s="152">
        <v>5.0</v>
      </c>
      <c r="K25" s="148">
        <v>5.0</v>
      </c>
      <c r="L25" s="148">
        <v>5.0</v>
      </c>
      <c r="M25" s="35">
        <v>5.0</v>
      </c>
      <c r="N25" s="35"/>
      <c r="O25" s="38">
        <v>5.0</v>
      </c>
      <c r="P25" s="36">
        <v>5.0</v>
      </c>
      <c r="Q25" s="35">
        <v>5.0</v>
      </c>
      <c r="R25" s="35"/>
      <c r="S25" s="35"/>
      <c r="T25" s="35">
        <v>5.0</v>
      </c>
      <c r="U25" s="38">
        <v>5.0</v>
      </c>
      <c r="V25" s="35"/>
      <c r="W25" s="35"/>
      <c r="X25" s="35">
        <v>5.0</v>
      </c>
      <c r="Y25" s="35"/>
      <c r="Z25" s="35"/>
      <c r="AA25" s="84">
        <f t="shared" si="3"/>
        <v>35</v>
      </c>
      <c r="AB25" s="144">
        <f t="shared" si="4"/>
        <v>50</v>
      </c>
      <c r="AC25" s="139">
        <f t="shared" si="5"/>
        <v>14</v>
      </c>
      <c r="AD25" s="28"/>
      <c r="AE25" s="28"/>
      <c r="AF25" s="28"/>
    </row>
    <row r="26">
      <c r="A26" s="37">
        <v>24.0</v>
      </c>
      <c r="B26" s="60" t="s">
        <v>141</v>
      </c>
      <c r="C26" s="148">
        <v>5.0</v>
      </c>
      <c r="D26" s="149"/>
      <c r="E26" s="149"/>
      <c r="F26" s="149"/>
      <c r="G26" s="149"/>
      <c r="H26" s="148">
        <v>5.0</v>
      </c>
      <c r="I26" s="149"/>
      <c r="J26" s="152">
        <v>5.0</v>
      </c>
      <c r="K26" s="142"/>
      <c r="L26" s="142"/>
      <c r="M26" s="35"/>
      <c r="N26" s="35">
        <v>5.0</v>
      </c>
      <c r="O26" s="38">
        <v>5.0</v>
      </c>
      <c r="P26" s="36">
        <v>5.0</v>
      </c>
      <c r="Q26" s="35"/>
      <c r="R26" s="35"/>
      <c r="S26" s="35">
        <v>5.0</v>
      </c>
      <c r="T26" s="35">
        <v>5.0</v>
      </c>
      <c r="U26" s="38">
        <v>5.0</v>
      </c>
      <c r="V26" s="35">
        <v>5.0</v>
      </c>
      <c r="W26" s="35"/>
      <c r="X26" s="35">
        <v>5.0</v>
      </c>
      <c r="Y26" s="35"/>
      <c r="Z26" s="35"/>
      <c r="AA26" s="84">
        <f t="shared" si="3"/>
        <v>40</v>
      </c>
      <c r="AB26" s="144">
        <f t="shared" si="4"/>
        <v>57.14285714</v>
      </c>
      <c r="AC26" s="139">
        <f t="shared" si="5"/>
        <v>11</v>
      </c>
      <c r="AD26" s="28"/>
      <c r="AE26" s="28"/>
      <c r="AF26" s="28"/>
    </row>
    <row r="27">
      <c r="A27" s="14">
        <v>25.0</v>
      </c>
      <c r="B27" s="15" t="s">
        <v>145</v>
      </c>
      <c r="C27" s="148">
        <v>5.0</v>
      </c>
      <c r="D27" s="149"/>
      <c r="E27" s="148">
        <v>5.0</v>
      </c>
      <c r="F27" s="149"/>
      <c r="G27" s="148">
        <v>5.0</v>
      </c>
      <c r="H27" s="148">
        <v>5.0</v>
      </c>
      <c r="I27" s="148">
        <v>5.0</v>
      </c>
      <c r="J27" s="152">
        <v>5.0</v>
      </c>
      <c r="K27" s="148">
        <v>5.0</v>
      </c>
      <c r="L27" s="148">
        <v>5.0</v>
      </c>
      <c r="M27" s="44">
        <v>7.5</v>
      </c>
      <c r="N27" s="20">
        <v>5.0</v>
      </c>
      <c r="O27" s="20">
        <v>5.0</v>
      </c>
      <c r="P27" s="20">
        <v>5.0</v>
      </c>
      <c r="Q27" s="20">
        <v>5.0</v>
      </c>
      <c r="R27" s="20"/>
      <c r="S27" s="44">
        <v>7.5</v>
      </c>
      <c r="T27" s="55">
        <v>5.0</v>
      </c>
      <c r="U27" s="44">
        <v>7.5</v>
      </c>
      <c r="V27" s="55">
        <v>5.0</v>
      </c>
      <c r="W27" s="56"/>
      <c r="X27" s="56">
        <v>5.0</v>
      </c>
      <c r="Y27" s="56"/>
      <c r="Z27" s="56"/>
      <c r="AA27" s="84">
        <f t="shared" si="3"/>
        <v>57.5</v>
      </c>
      <c r="AB27" s="138">
        <f t="shared" si="4"/>
        <v>82.14285714</v>
      </c>
      <c r="AC27" s="139">
        <f t="shared" si="5"/>
        <v>18</v>
      </c>
      <c r="AD27" s="81"/>
      <c r="AE27" s="81"/>
      <c r="AF27" s="81"/>
      <c r="AG27" s="82"/>
      <c r="AH27" s="82"/>
      <c r="AI27" s="82"/>
      <c r="AJ27" s="82"/>
      <c r="AK27" s="82"/>
      <c r="AL27" s="82"/>
      <c r="AM27" s="82"/>
    </row>
    <row r="28">
      <c r="A28" s="37">
        <v>26.0</v>
      </c>
      <c r="B28" s="83" t="s">
        <v>149</v>
      </c>
      <c r="C28" s="152">
        <v>5.0</v>
      </c>
      <c r="D28" s="149"/>
      <c r="E28" s="149"/>
      <c r="F28" s="149"/>
      <c r="G28" s="149"/>
      <c r="H28" s="148">
        <v>5.0</v>
      </c>
      <c r="I28" s="149"/>
      <c r="J28" s="141"/>
      <c r="K28" s="142"/>
      <c r="L28" s="142"/>
      <c r="M28" s="35"/>
      <c r="N28" s="35">
        <v>5.0</v>
      </c>
      <c r="O28" s="38">
        <v>5.0</v>
      </c>
      <c r="P28" s="36">
        <v>5.0</v>
      </c>
      <c r="Q28" s="35">
        <v>5.0</v>
      </c>
      <c r="R28" s="35"/>
      <c r="S28" s="35"/>
      <c r="T28" s="35"/>
      <c r="U28" s="84"/>
      <c r="V28" s="35"/>
      <c r="W28" s="37">
        <v>5.0</v>
      </c>
      <c r="X28" s="37"/>
      <c r="Y28" s="37"/>
      <c r="Z28" s="37"/>
      <c r="AA28" s="84">
        <f t="shared" si="3"/>
        <v>25</v>
      </c>
      <c r="AB28" s="144">
        <f t="shared" si="4"/>
        <v>35.71428571</v>
      </c>
      <c r="AC28" s="139">
        <f t="shared" si="5"/>
        <v>7</v>
      </c>
      <c r="AD28" s="28"/>
      <c r="AE28" s="28"/>
      <c r="AF28" s="28"/>
    </row>
    <row r="29">
      <c r="A29" s="14">
        <v>27.0</v>
      </c>
      <c r="B29" s="160" t="s">
        <v>153</v>
      </c>
      <c r="C29" s="148">
        <v>5.0</v>
      </c>
      <c r="D29" s="149"/>
      <c r="E29" s="149"/>
      <c r="F29" s="149"/>
      <c r="G29" s="149"/>
      <c r="H29" s="148">
        <v>5.0</v>
      </c>
      <c r="I29" s="149"/>
      <c r="J29" s="152">
        <v>5.0</v>
      </c>
      <c r="K29" s="148">
        <v>5.0</v>
      </c>
      <c r="L29" s="148">
        <v>5.0</v>
      </c>
      <c r="M29" s="35">
        <v>5.0</v>
      </c>
      <c r="N29" s="35">
        <v>5.0</v>
      </c>
      <c r="O29" s="38">
        <v>5.0</v>
      </c>
      <c r="P29" s="36">
        <v>5.0</v>
      </c>
      <c r="Q29" s="35">
        <v>5.0</v>
      </c>
      <c r="R29" s="35"/>
      <c r="S29" s="35">
        <v>5.0</v>
      </c>
      <c r="T29" s="35">
        <v>5.0</v>
      </c>
      <c r="U29" s="38">
        <v>5.0</v>
      </c>
      <c r="V29" s="35">
        <v>5.0</v>
      </c>
      <c r="W29" s="56"/>
      <c r="X29" s="56">
        <v>5.0</v>
      </c>
      <c r="Y29" s="56"/>
      <c r="Z29" s="56"/>
      <c r="AA29" s="84">
        <f t="shared" si="3"/>
        <v>50</v>
      </c>
      <c r="AB29" s="144">
        <f t="shared" si="4"/>
        <v>71.42857143</v>
      </c>
      <c r="AC29" s="139">
        <f t="shared" si="5"/>
        <v>15</v>
      </c>
      <c r="AD29" s="28"/>
      <c r="AE29" s="28"/>
      <c r="AF29" s="28"/>
    </row>
    <row r="30">
      <c r="A30" s="37">
        <v>28.0</v>
      </c>
      <c r="B30" s="60" t="s">
        <v>157</v>
      </c>
      <c r="C30" s="148">
        <v>5.0</v>
      </c>
      <c r="D30" s="148">
        <v>5.0</v>
      </c>
      <c r="E30" s="148">
        <v>5.0</v>
      </c>
      <c r="F30" s="149"/>
      <c r="G30" s="149"/>
      <c r="H30" s="149"/>
      <c r="I30" s="149"/>
      <c r="J30" s="152">
        <v>5.0</v>
      </c>
      <c r="K30" s="142"/>
      <c r="L30" s="142"/>
      <c r="M30" s="35"/>
      <c r="N30" s="35"/>
      <c r="O30" s="38"/>
      <c r="P30" s="36">
        <v>5.0</v>
      </c>
      <c r="Q30" s="35">
        <v>5.0</v>
      </c>
      <c r="R30" s="35"/>
      <c r="S30" s="35"/>
      <c r="T30" s="35">
        <v>5.0</v>
      </c>
      <c r="U30" s="38">
        <v>5.0</v>
      </c>
      <c r="V30" s="35"/>
      <c r="W30" s="37"/>
      <c r="X30" s="37">
        <v>5.0</v>
      </c>
      <c r="Y30" s="37"/>
      <c r="Z30" s="37"/>
      <c r="AA30" s="84">
        <f t="shared" si="3"/>
        <v>25</v>
      </c>
      <c r="AB30" s="144">
        <f t="shared" si="4"/>
        <v>35.71428571</v>
      </c>
      <c r="AC30" s="139">
        <f t="shared" si="5"/>
        <v>9</v>
      </c>
      <c r="AD30" s="28"/>
      <c r="AE30" s="28"/>
      <c r="AF30" s="28"/>
    </row>
    <row r="31">
      <c r="A31" s="37">
        <v>29.0</v>
      </c>
      <c r="B31" s="60" t="s">
        <v>161</v>
      </c>
      <c r="C31" s="148">
        <v>5.0</v>
      </c>
      <c r="D31" s="149"/>
      <c r="E31" s="149"/>
      <c r="F31" s="148">
        <v>10.0</v>
      </c>
      <c r="G31" s="149"/>
      <c r="H31" s="149"/>
      <c r="I31" s="149"/>
      <c r="J31" s="141"/>
      <c r="K31" s="142"/>
      <c r="L31" s="142"/>
      <c r="M31" s="35"/>
      <c r="N31" s="35"/>
      <c r="O31" s="38"/>
      <c r="P31" s="36">
        <v>5.0</v>
      </c>
      <c r="Q31" s="35"/>
      <c r="R31" s="35"/>
      <c r="S31" s="35"/>
      <c r="T31" s="35"/>
      <c r="U31" s="38">
        <v>5.0</v>
      </c>
      <c r="V31" s="35"/>
      <c r="W31" s="35"/>
      <c r="X31" s="35"/>
      <c r="Y31" s="35"/>
      <c r="Z31" s="35"/>
      <c r="AA31" s="84">
        <f t="shared" si="3"/>
        <v>10</v>
      </c>
      <c r="AB31" s="144">
        <f t="shared" si="4"/>
        <v>14.28571429</v>
      </c>
      <c r="AC31" s="139">
        <f t="shared" si="5"/>
        <v>4</v>
      </c>
      <c r="AD31" s="28"/>
      <c r="AE31" s="28"/>
      <c r="AF31" s="28"/>
    </row>
    <row r="32">
      <c r="A32" s="37">
        <v>30.0</v>
      </c>
      <c r="B32" s="60" t="s">
        <v>165</v>
      </c>
      <c r="C32" s="148">
        <v>5.0</v>
      </c>
      <c r="D32" s="149"/>
      <c r="E32" s="149"/>
      <c r="F32" s="149"/>
      <c r="G32" s="149"/>
      <c r="H32" s="149"/>
      <c r="I32" s="149"/>
      <c r="J32" s="141"/>
      <c r="K32" s="148">
        <v>5.0</v>
      </c>
      <c r="L32" s="142"/>
      <c r="M32" s="35"/>
      <c r="N32" s="35">
        <v>5.0</v>
      </c>
      <c r="O32" s="38">
        <v>5.0</v>
      </c>
      <c r="P32" s="36"/>
      <c r="Q32" s="35"/>
      <c r="R32" s="35"/>
      <c r="S32" s="35"/>
      <c r="T32" s="35">
        <v>5.0</v>
      </c>
      <c r="U32" s="84"/>
      <c r="V32" s="35"/>
      <c r="W32" s="35"/>
      <c r="X32" s="35"/>
      <c r="Y32" s="35"/>
      <c r="Z32" s="35">
        <v>5.0</v>
      </c>
      <c r="AA32" s="84">
        <f t="shared" si="3"/>
        <v>20</v>
      </c>
      <c r="AB32" s="144">
        <f t="shared" si="4"/>
        <v>28.57142857</v>
      </c>
      <c r="AC32" s="139">
        <f t="shared" si="5"/>
        <v>6</v>
      </c>
      <c r="AD32" s="28"/>
      <c r="AE32" s="28"/>
      <c r="AF32" s="28"/>
    </row>
    <row r="33">
      <c r="A33" s="37">
        <v>31.0</v>
      </c>
      <c r="B33" s="60" t="s">
        <v>170</v>
      </c>
      <c r="C33" s="148">
        <v>5.0</v>
      </c>
      <c r="D33" s="148">
        <v>5.0</v>
      </c>
      <c r="E33" s="149"/>
      <c r="F33" s="149"/>
      <c r="G33" s="149"/>
      <c r="H33" s="149"/>
      <c r="I33" s="149"/>
      <c r="J33" s="141"/>
      <c r="K33" s="142"/>
      <c r="L33" s="142"/>
      <c r="M33" s="35"/>
      <c r="N33" s="35"/>
      <c r="O33" s="38"/>
      <c r="P33" s="36"/>
      <c r="Q33" s="35"/>
      <c r="R33" s="35"/>
      <c r="S33" s="35"/>
      <c r="T33" s="35"/>
      <c r="U33" s="84"/>
      <c r="V33" s="35"/>
      <c r="W33" s="35"/>
      <c r="X33" s="35"/>
      <c r="Y33" s="35"/>
      <c r="Z33" s="35"/>
      <c r="AA33" s="84">
        <f t="shared" si="3"/>
        <v>0</v>
      </c>
      <c r="AB33" s="144">
        <f t="shared" si="4"/>
        <v>0</v>
      </c>
      <c r="AC33" s="139">
        <f t="shared" si="5"/>
        <v>2</v>
      </c>
      <c r="AD33" s="28"/>
      <c r="AE33" s="28"/>
      <c r="AF33" s="28"/>
    </row>
    <row r="34">
      <c r="A34" s="37">
        <v>32.0</v>
      </c>
      <c r="B34" s="60" t="s">
        <v>173</v>
      </c>
      <c r="C34" s="148">
        <v>5.0</v>
      </c>
      <c r="D34" s="149"/>
      <c r="E34" s="149"/>
      <c r="F34" s="149"/>
      <c r="G34" s="149"/>
      <c r="H34" s="148">
        <v>5.0</v>
      </c>
      <c r="I34" s="149"/>
      <c r="J34" s="152">
        <v>5.0</v>
      </c>
      <c r="K34" s="142"/>
      <c r="L34" s="142"/>
      <c r="M34" s="35"/>
      <c r="N34" s="35"/>
      <c r="O34" s="38"/>
      <c r="P34" s="36">
        <v>5.0</v>
      </c>
      <c r="Q34" s="35"/>
      <c r="R34" s="35"/>
      <c r="S34" s="35"/>
      <c r="T34" s="38">
        <v>5.0</v>
      </c>
      <c r="U34" s="84"/>
      <c r="V34" s="86">
        <v>7.5</v>
      </c>
      <c r="W34" s="35"/>
      <c r="X34" s="35"/>
      <c r="Y34" s="35"/>
      <c r="Z34" s="35"/>
      <c r="AA34" s="84">
        <f t="shared" si="3"/>
        <v>17.5</v>
      </c>
      <c r="AB34" s="144">
        <f t="shared" si="4"/>
        <v>25</v>
      </c>
      <c r="AC34" s="139">
        <f t="shared" si="5"/>
        <v>6</v>
      </c>
      <c r="AD34" s="28"/>
      <c r="AE34" s="28"/>
      <c r="AF34" s="28"/>
    </row>
    <row r="35">
      <c r="A35" s="37">
        <v>33.0</v>
      </c>
      <c r="B35" s="60" t="s">
        <v>177</v>
      </c>
      <c r="C35" s="148">
        <v>5.0</v>
      </c>
      <c r="D35" s="149"/>
      <c r="E35" s="148">
        <v>5.0</v>
      </c>
      <c r="F35" s="149"/>
      <c r="G35" s="148">
        <v>5.0</v>
      </c>
      <c r="H35" s="149"/>
      <c r="I35" s="149"/>
      <c r="J35" s="141"/>
      <c r="K35" s="142"/>
      <c r="L35" s="142"/>
      <c r="M35" s="35"/>
      <c r="N35" s="35"/>
      <c r="O35" s="38"/>
      <c r="P35" s="36"/>
      <c r="Q35" s="35"/>
      <c r="R35" s="35"/>
      <c r="S35" s="35"/>
      <c r="T35" s="35"/>
      <c r="U35" s="35"/>
      <c r="V35" s="35"/>
      <c r="W35" s="35"/>
      <c r="X35" s="35"/>
      <c r="Y35" s="35"/>
      <c r="Z35" s="35">
        <v>5.0</v>
      </c>
      <c r="AA35" s="84">
        <f t="shared" si="3"/>
        <v>5</v>
      </c>
      <c r="AB35" s="144">
        <f t="shared" si="4"/>
        <v>7.142857143</v>
      </c>
      <c r="AC35" s="139">
        <f t="shared" si="5"/>
        <v>4</v>
      </c>
      <c r="AD35" s="28"/>
      <c r="AE35" s="28"/>
      <c r="AF35" s="28"/>
    </row>
    <row r="36">
      <c r="A36" s="37">
        <v>34.0</v>
      </c>
      <c r="B36" s="60" t="s">
        <v>181</v>
      </c>
      <c r="C36" s="148">
        <v>5.0</v>
      </c>
      <c r="D36" s="148">
        <v>5.0</v>
      </c>
      <c r="E36" s="149"/>
      <c r="F36" s="149"/>
      <c r="G36" s="149"/>
      <c r="H36" s="149"/>
      <c r="I36" s="149"/>
      <c r="J36" s="152">
        <v>5.0</v>
      </c>
      <c r="K36" s="142"/>
      <c r="L36" s="142"/>
      <c r="M36" s="35"/>
      <c r="N36" s="35"/>
      <c r="O36" s="38"/>
      <c r="P36" s="36">
        <v>5.0</v>
      </c>
      <c r="Q36" s="35"/>
      <c r="R36" s="35"/>
      <c r="S36" s="35"/>
      <c r="T36" s="35">
        <v>5.0</v>
      </c>
      <c r="U36" s="35">
        <v>5.0</v>
      </c>
      <c r="V36" s="35"/>
      <c r="W36" s="35"/>
      <c r="X36" s="35"/>
      <c r="Y36" s="35"/>
      <c r="Z36" s="35"/>
      <c r="AA36" s="84">
        <f t="shared" si="3"/>
        <v>15</v>
      </c>
      <c r="AB36" s="144">
        <f t="shared" si="4"/>
        <v>21.42857143</v>
      </c>
      <c r="AC36" s="139">
        <f t="shared" si="5"/>
        <v>6</v>
      </c>
      <c r="AD36" s="28"/>
      <c r="AE36" s="28"/>
      <c r="AF36" s="28"/>
    </row>
    <row r="37">
      <c r="A37" s="37">
        <v>35.0</v>
      </c>
      <c r="B37" s="60" t="s">
        <v>185</v>
      </c>
      <c r="C37" s="148">
        <v>5.0</v>
      </c>
      <c r="D37" s="149"/>
      <c r="E37" s="149"/>
      <c r="F37" s="149"/>
      <c r="G37" s="148">
        <v>5.0</v>
      </c>
      <c r="H37" s="149"/>
      <c r="I37" s="149"/>
      <c r="J37" s="141"/>
      <c r="K37" s="148">
        <v>5.0</v>
      </c>
      <c r="L37" s="142"/>
      <c r="M37" s="35"/>
      <c r="N37" s="35"/>
      <c r="O37" s="38"/>
      <c r="P37" s="36">
        <v>5.0</v>
      </c>
      <c r="Q37" s="35"/>
      <c r="R37" s="35"/>
      <c r="S37" s="35"/>
      <c r="T37" s="35"/>
      <c r="U37" s="35">
        <v>5.0</v>
      </c>
      <c r="V37" s="35"/>
      <c r="W37" s="35"/>
      <c r="X37" s="35">
        <v>5.0</v>
      </c>
      <c r="Y37" s="35"/>
      <c r="Z37" s="35"/>
      <c r="AA37" s="84">
        <f t="shared" si="3"/>
        <v>15</v>
      </c>
      <c r="AB37" s="144">
        <f t="shared" si="4"/>
        <v>21.42857143</v>
      </c>
      <c r="AC37" s="139">
        <f t="shared" si="5"/>
        <v>6</v>
      </c>
      <c r="AD37" s="28"/>
      <c r="AE37" s="28"/>
      <c r="AF37" s="28"/>
    </row>
    <row r="38">
      <c r="A38" s="37">
        <v>36.0</v>
      </c>
      <c r="B38" s="87" t="s">
        <v>189</v>
      </c>
      <c r="C38" s="161">
        <v>5.0</v>
      </c>
      <c r="D38" s="161">
        <v>5.0</v>
      </c>
      <c r="E38" s="161">
        <v>5.0</v>
      </c>
      <c r="F38" s="161">
        <v>10.0</v>
      </c>
      <c r="G38" s="162"/>
      <c r="H38" s="161">
        <v>5.0</v>
      </c>
      <c r="I38" s="162"/>
      <c r="J38" s="152">
        <v>5.0</v>
      </c>
      <c r="K38" s="148">
        <v>5.0</v>
      </c>
      <c r="L38" s="148">
        <v>5.0</v>
      </c>
      <c r="M38" s="35">
        <v>5.0</v>
      </c>
      <c r="N38" s="35">
        <v>5.0</v>
      </c>
      <c r="O38" s="38">
        <v>5.0</v>
      </c>
      <c r="P38" s="36">
        <v>5.0</v>
      </c>
      <c r="Q38" s="35">
        <v>5.0</v>
      </c>
      <c r="R38" s="35">
        <v>10.0</v>
      </c>
      <c r="S38" s="35"/>
      <c r="T38" s="35">
        <v>5.0</v>
      </c>
      <c r="U38" s="35">
        <v>5.0</v>
      </c>
      <c r="V38" s="35">
        <v>5.0</v>
      </c>
      <c r="W38" s="35">
        <v>5.0</v>
      </c>
      <c r="X38" s="35">
        <v>5.0</v>
      </c>
      <c r="Y38" s="35"/>
      <c r="Z38" s="35">
        <v>5.0</v>
      </c>
      <c r="AA38" s="84">
        <f t="shared" si="3"/>
        <v>65</v>
      </c>
      <c r="AB38" s="144">
        <f t="shared" si="4"/>
        <v>92.85714286</v>
      </c>
      <c r="AC38" s="139">
        <f t="shared" si="5"/>
        <v>20</v>
      </c>
      <c r="AD38" s="28"/>
      <c r="AE38" s="28"/>
      <c r="AF38" s="28"/>
    </row>
    <row r="39">
      <c r="A39" s="37">
        <v>37.0</v>
      </c>
      <c r="B39" s="60" t="s">
        <v>193</v>
      </c>
      <c r="C39" s="149"/>
      <c r="D39" s="148">
        <v>5.0</v>
      </c>
      <c r="E39" s="149"/>
      <c r="F39" s="149"/>
      <c r="G39" s="149"/>
      <c r="H39" s="149"/>
      <c r="I39" s="149"/>
      <c r="J39" s="141"/>
      <c r="K39" s="142"/>
      <c r="L39" s="142"/>
      <c r="M39" s="35"/>
      <c r="N39" s="35"/>
      <c r="O39" s="38"/>
      <c r="P39" s="36">
        <v>5.0</v>
      </c>
      <c r="Q39" s="35"/>
      <c r="R39" s="35"/>
      <c r="S39" s="35"/>
      <c r="T39" s="35">
        <v>5.0</v>
      </c>
      <c r="U39" s="35">
        <v>5.0</v>
      </c>
      <c r="V39" s="35">
        <v>5.0</v>
      </c>
      <c r="W39" s="35"/>
      <c r="X39" s="35"/>
      <c r="Y39" s="35"/>
      <c r="Z39" s="35"/>
      <c r="AA39" s="84">
        <f t="shared" si="3"/>
        <v>20</v>
      </c>
      <c r="AB39" s="144">
        <f t="shared" si="4"/>
        <v>28.57142857</v>
      </c>
      <c r="AC39" s="139">
        <f t="shared" si="5"/>
        <v>5</v>
      </c>
      <c r="AD39" s="28"/>
      <c r="AE39" s="28"/>
      <c r="AF39" s="28"/>
    </row>
    <row r="40">
      <c r="A40" s="37">
        <v>38.0</v>
      </c>
      <c r="B40" s="60" t="s">
        <v>197</v>
      </c>
      <c r="C40" s="149"/>
      <c r="D40" s="148">
        <v>5.0</v>
      </c>
      <c r="E40" s="149"/>
      <c r="F40" s="149"/>
      <c r="G40" s="149"/>
      <c r="H40" s="149"/>
      <c r="I40" s="149"/>
      <c r="J40" s="152">
        <v>5.0</v>
      </c>
      <c r="K40" s="142"/>
      <c r="L40" s="148">
        <v>5.0</v>
      </c>
      <c r="M40" s="35"/>
      <c r="N40" s="35"/>
      <c r="O40" s="38"/>
      <c r="P40" s="36">
        <v>5.0</v>
      </c>
      <c r="Q40" s="35"/>
      <c r="R40" s="35"/>
      <c r="S40" s="35"/>
      <c r="T40" s="35"/>
      <c r="U40" s="35">
        <v>5.0</v>
      </c>
      <c r="V40" s="35"/>
      <c r="W40" s="35"/>
      <c r="X40" s="35"/>
      <c r="Y40" s="35"/>
      <c r="Z40" s="35"/>
      <c r="AA40" s="84">
        <f t="shared" si="3"/>
        <v>10</v>
      </c>
      <c r="AB40" s="144">
        <f t="shared" si="4"/>
        <v>14.28571429</v>
      </c>
      <c r="AC40" s="139">
        <f t="shared" si="5"/>
        <v>5</v>
      </c>
      <c r="AD40" s="28"/>
      <c r="AE40" s="28"/>
      <c r="AF40" s="28"/>
    </row>
    <row r="41">
      <c r="A41" s="37">
        <v>39.0</v>
      </c>
      <c r="B41" s="60" t="s">
        <v>201</v>
      </c>
      <c r="C41" s="149"/>
      <c r="D41" s="148">
        <v>5.0</v>
      </c>
      <c r="E41" s="149"/>
      <c r="F41" s="149"/>
      <c r="G41" s="149"/>
      <c r="H41" s="149"/>
      <c r="I41" s="149"/>
      <c r="J41" s="141"/>
      <c r="K41" s="142"/>
      <c r="L41" s="142"/>
      <c r="M41" s="35"/>
      <c r="N41" s="35"/>
      <c r="O41" s="38"/>
      <c r="P41" s="36">
        <v>5.0</v>
      </c>
      <c r="Q41" s="35"/>
      <c r="R41" s="35"/>
      <c r="S41" s="35"/>
      <c r="T41" s="35">
        <v>5.0</v>
      </c>
      <c r="U41" s="35">
        <v>5.0</v>
      </c>
      <c r="V41" s="35"/>
      <c r="W41" s="35"/>
      <c r="X41" s="35"/>
      <c r="Y41" s="35"/>
      <c r="Z41" s="35"/>
      <c r="AA41" s="84">
        <f t="shared" si="3"/>
        <v>15</v>
      </c>
      <c r="AB41" s="144">
        <f t="shared" si="4"/>
        <v>21.42857143</v>
      </c>
      <c r="AC41" s="139">
        <f t="shared" si="5"/>
        <v>4</v>
      </c>
      <c r="AD41" s="28"/>
      <c r="AE41" s="28"/>
      <c r="AF41" s="28"/>
    </row>
    <row r="42">
      <c r="A42" s="37">
        <v>40.0</v>
      </c>
      <c r="B42" s="60" t="s">
        <v>205</v>
      </c>
      <c r="C42" s="149"/>
      <c r="D42" s="148">
        <v>5.0</v>
      </c>
      <c r="E42" s="149"/>
      <c r="F42" s="149"/>
      <c r="G42" s="149"/>
      <c r="H42" s="149"/>
      <c r="I42" s="149"/>
      <c r="J42" s="141"/>
      <c r="K42" s="142"/>
      <c r="L42" s="142"/>
      <c r="M42" s="35"/>
      <c r="N42" s="35"/>
      <c r="O42" s="38"/>
      <c r="P42" s="36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84">
        <f t="shared" si="3"/>
        <v>0</v>
      </c>
      <c r="AB42" s="144">
        <f t="shared" si="4"/>
        <v>0</v>
      </c>
      <c r="AC42" s="139">
        <f t="shared" si="5"/>
        <v>1</v>
      </c>
      <c r="AD42" s="28"/>
      <c r="AE42" s="28"/>
      <c r="AF42" s="28"/>
    </row>
    <row r="43">
      <c r="A43" s="37">
        <v>41.0</v>
      </c>
      <c r="B43" s="60" t="s">
        <v>209</v>
      </c>
      <c r="C43" s="149"/>
      <c r="D43" s="148">
        <v>5.0</v>
      </c>
      <c r="E43" s="149"/>
      <c r="F43" s="148">
        <v>10.0</v>
      </c>
      <c r="G43" s="149"/>
      <c r="H43" s="149"/>
      <c r="I43" s="149"/>
      <c r="J43" s="141"/>
      <c r="K43" s="142"/>
      <c r="L43" s="142"/>
      <c r="M43" s="35"/>
      <c r="N43" s="35">
        <v>5.0</v>
      </c>
      <c r="O43" s="38">
        <v>5.0</v>
      </c>
      <c r="P43" s="36"/>
      <c r="Q43" s="35"/>
      <c r="R43" s="35"/>
      <c r="S43" s="35"/>
      <c r="T43" s="35"/>
      <c r="U43" s="35"/>
      <c r="V43" s="35"/>
      <c r="W43" s="35"/>
      <c r="X43" s="35"/>
      <c r="Y43" s="35">
        <v>10.0</v>
      </c>
      <c r="Z43" s="35">
        <v>5.0</v>
      </c>
      <c r="AA43" s="84">
        <f t="shared" si="3"/>
        <v>25</v>
      </c>
      <c r="AB43" s="144">
        <f t="shared" si="4"/>
        <v>35.71428571</v>
      </c>
      <c r="AC43" s="139">
        <f t="shared" si="5"/>
        <v>6</v>
      </c>
      <c r="AD43" s="28"/>
      <c r="AE43" s="28"/>
      <c r="AF43" s="28"/>
    </row>
    <row r="44">
      <c r="A44" s="37">
        <v>42.0</v>
      </c>
      <c r="B44" s="60" t="s">
        <v>213</v>
      </c>
      <c r="C44" s="149"/>
      <c r="D44" s="148">
        <v>5.0</v>
      </c>
      <c r="E44" s="149"/>
      <c r="F44" s="149"/>
      <c r="G44" s="149"/>
      <c r="H44" s="149"/>
      <c r="I44" s="149"/>
      <c r="J44" s="141"/>
      <c r="K44" s="142"/>
      <c r="L44" s="142"/>
      <c r="M44" s="35"/>
      <c r="N44" s="35"/>
      <c r="O44" s="38"/>
      <c r="P44" s="36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84">
        <f t="shared" si="3"/>
        <v>0</v>
      </c>
      <c r="AB44" s="144">
        <f t="shared" si="4"/>
        <v>0</v>
      </c>
      <c r="AC44" s="139">
        <f t="shared" si="5"/>
        <v>1</v>
      </c>
      <c r="AD44" s="28"/>
      <c r="AE44" s="28"/>
      <c r="AF44" s="28"/>
    </row>
    <row r="45">
      <c r="A45" s="37">
        <v>43.0</v>
      </c>
      <c r="B45" s="60" t="s">
        <v>217</v>
      </c>
      <c r="C45" s="149"/>
      <c r="D45" s="148">
        <v>5.0</v>
      </c>
      <c r="E45" s="149"/>
      <c r="F45" s="149"/>
      <c r="G45" s="149"/>
      <c r="H45" s="149"/>
      <c r="I45" s="149"/>
      <c r="J45" s="152">
        <v>5.0</v>
      </c>
      <c r="K45" s="142"/>
      <c r="L45" s="148">
        <v>5.0</v>
      </c>
      <c r="M45" s="35"/>
      <c r="N45" s="35"/>
      <c r="O45" s="38"/>
      <c r="P45" s="36">
        <v>5.0</v>
      </c>
      <c r="Q45" s="35"/>
      <c r="R45" s="35"/>
      <c r="S45" s="35"/>
      <c r="T45" s="35">
        <v>5.0</v>
      </c>
      <c r="U45" s="35">
        <v>5.0</v>
      </c>
      <c r="V45" s="35"/>
      <c r="W45" s="35"/>
      <c r="X45" s="35"/>
      <c r="Y45" s="35"/>
      <c r="Z45" s="35"/>
      <c r="AA45" s="84">
        <f t="shared" si="3"/>
        <v>15</v>
      </c>
      <c r="AB45" s="144">
        <f t="shared" si="4"/>
        <v>21.42857143</v>
      </c>
      <c r="AC45" s="139">
        <f t="shared" si="5"/>
        <v>6</v>
      </c>
      <c r="AD45" s="28"/>
      <c r="AE45" s="28"/>
      <c r="AF45" s="28"/>
    </row>
    <row r="46">
      <c r="A46" s="37">
        <v>44.0</v>
      </c>
      <c r="B46" s="60" t="s">
        <v>221</v>
      </c>
      <c r="C46" s="149"/>
      <c r="D46" s="148">
        <v>5.0</v>
      </c>
      <c r="E46" s="149"/>
      <c r="F46" s="149"/>
      <c r="G46" s="149"/>
      <c r="H46" s="149"/>
      <c r="I46" s="149"/>
      <c r="J46" s="141"/>
      <c r="K46" s="142"/>
      <c r="L46" s="142"/>
      <c r="M46" s="35"/>
      <c r="N46" s="35"/>
      <c r="O46" s="38"/>
      <c r="P46" s="36"/>
      <c r="Q46" s="35"/>
      <c r="R46" s="35"/>
      <c r="S46" s="35"/>
      <c r="T46" s="35"/>
      <c r="U46" s="35">
        <v>5.0</v>
      </c>
      <c r="V46" s="35"/>
      <c r="W46" s="35"/>
      <c r="X46" s="35"/>
      <c r="Y46" s="35"/>
      <c r="Z46" s="35"/>
      <c r="AA46" s="84">
        <f t="shared" si="3"/>
        <v>5</v>
      </c>
      <c r="AB46" s="144">
        <f t="shared" si="4"/>
        <v>7.142857143</v>
      </c>
      <c r="AC46" s="139">
        <f t="shared" si="5"/>
        <v>2</v>
      </c>
      <c r="AD46" s="28"/>
      <c r="AE46" s="28"/>
      <c r="AF46" s="28"/>
    </row>
    <row r="47">
      <c r="A47" s="37">
        <v>45.0</v>
      </c>
      <c r="B47" s="60" t="s">
        <v>224</v>
      </c>
      <c r="C47" s="149"/>
      <c r="D47" s="148">
        <v>5.0</v>
      </c>
      <c r="E47" s="149"/>
      <c r="F47" s="149"/>
      <c r="G47" s="149"/>
      <c r="H47" s="149"/>
      <c r="I47" s="149"/>
      <c r="J47" s="141"/>
      <c r="K47" s="142"/>
      <c r="L47" s="142"/>
      <c r="M47" s="35"/>
      <c r="N47" s="35"/>
      <c r="O47" s="38"/>
      <c r="P47" s="36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84">
        <f t="shared" si="3"/>
        <v>0</v>
      </c>
      <c r="AB47" s="144">
        <f t="shared" si="4"/>
        <v>0</v>
      </c>
      <c r="AC47" s="139">
        <f t="shared" si="5"/>
        <v>1</v>
      </c>
      <c r="AD47" s="28"/>
      <c r="AE47" s="28"/>
      <c r="AF47" s="28"/>
    </row>
    <row r="48">
      <c r="A48" s="37">
        <v>46.0</v>
      </c>
      <c r="B48" s="60" t="s">
        <v>228</v>
      </c>
      <c r="C48" s="149"/>
      <c r="D48" s="148">
        <v>5.0</v>
      </c>
      <c r="E48" s="148"/>
      <c r="F48" s="149"/>
      <c r="G48" s="149"/>
      <c r="H48" s="149"/>
      <c r="I48" s="149"/>
      <c r="J48" s="141"/>
      <c r="K48" s="142"/>
      <c r="L48" s="142"/>
      <c r="M48" s="35"/>
      <c r="N48" s="35"/>
      <c r="O48" s="38"/>
      <c r="P48" s="36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84">
        <f t="shared" si="3"/>
        <v>0</v>
      </c>
      <c r="AB48" s="144">
        <f t="shared" si="4"/>
        <v>0</v>
      </c>
      <c r="AC48" s="139">
        <f t="shared" si="5"/>
        <v>1</v>
      </c>
      <c r="AD48" s="28"/>
      <c r="AE48" s="28"/>
      <c r="AF48" s="28"/>
    </row>
    <row r="49">
      <c r="A49" s="37">
        <v>47.0</v>
      </c>
      <c r="B49" s="60" t="s">
        <v>232</v>
      </c>
      <c r="C49" s="149"/>
      <c r="D49" s="149"/>
      <c r="E49" s="148">
        <v>5.0</v>
      </c>
      <c r="F49" s="149"/>
      <c r="G49" s="149"/>
      <c r="H49" s="149"/>
      <c r="I49" s="149"/>
      <c r="J49" s="141"/>
      <c r="K49" s="142"/>
      <c r="L49" s="142"/>
      <c r="M49" s="35"/>
      <c r="N49" s="35"/>
      <c r="O49" s="38"/>
      <c r="P49" s="36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84">
        <f t="shared" si="3"/>
        <v>0</v>
      </c>
      <c r="AB49" s="144">
        <f t="shared" si="4"/>
        <v>0</v>
      </c>
      <c r="AC49" s="139">
        <f t="shared" si="5"/>
        <v>1</v>
      </c>
      <c r="AD49" s="28"/>
      <c r="AE49" s="28"/>
      <c r="AF49" s="28"/>
    </row>
    <row r="50">
      <c r="A50" s="37">
        <v>48.0</v>
      </c>
      <c r="B50" s="60" t="s">
        <v>236</v>
      </c>
      <c r="C50" s="149"/>
      <c r="D50" s="149"/>
      <c r="E50" s="148">
        <v>5.0</v>
      </c>
      <c r="F50" s="148">
        <v>10.0</v>
      </c>
      <c r="G50" s="149"/>
      <c r="H50" s="148">
        <v>5.0</v>
      </c>
      <c r="I50" s="149"/>
      <c r="J50" s="141"/>
      <c r="K50" s="148">
        <v>5.0</v>
      </c>
      <c r="L50" s="148">
        <v>5.0</v>
      </c>
      <c r="M50" s="35"/>
      <c r="N50" s="35"/>
      <c r="O50" s="38">
        <v>5.0</v>
      </c>
      <c r="P50" s="36">
        <v>5.0</v>
      </c>
      <c r="Q50" s="35"/>
      <c r="R50" s="35"/>
      <c r="S50" s="35">
        <v>5.0</v>
      </c>
      <c r="T50" s="35"/>
      <c r="U50" s="35"/>
      <c r="V50" s="35"/>
      <c r="W50" s="35">
        <v>5.0</v>
      </c>
      <c r="X50" s="35"/>
      <c r="Y50" s="35"/>
      <c r="Z50" s="35"/>
      <c r="AA50" s="84">
        <f t="shared" si="3"/>
        <v>20</v>
      </c>
      <c r="AB50" s="144">
        <f t="shared" si="4"/>
        <v>28.57142857</v>
      </c>
      <c r="AC50" s="139">
        <f t="shared" si="5"/>
        <v>9</v>
      </c>
      <c r="AD50" s="28"/>
      <c r="AE50" s="28"/>
      <c r="AF50" s="28"/>
    </row>
    <row r="51">
      <c r="A51" s="37">
        <v>49.0</v>
      </c>
      <c r="B51" s="60" t="s">
        <v>240</v>
      </c>
      <c r="C51" s="149"/>
      <c r="D51" s="149"/>
      <c r="E51" s="148">
        <v>5.0</v>
      </c>
      <c r="F51" s="149"/>
      <c r="G51" s="149"/>
      <c r="H51" s="149"/>
      <c r="I51" s="149"/>
      <c r="J51" s="141"/>
      <c r="K51" s="142"/>
      <c r="L51" s="148">
        <v>5.0</v>
      </c>
      <c r="M51" s="35"/>
      <c r="N51" s="35"/>
      <c r="O51" s="38"/>
      <c r="P51" s="92">
        <v>5.0</v>
      </c>
      <c r="Q51" s="38"/>
      <c r="R51" s="38"/>
      <c r="S51" s="38"/>
      <c r="T51" s="35"/>
      <c r="U51" s="35"/>
      <c r="V51" s="35"/>
      <c r="W51" s="35"/>
      <c r="X51" s="35"/>
      <c r="Y51" s="35"/>
      <c r="Z51" s="35"/>
      <c r="AA51" s="84">
        <f t="shared" si="3"/>
        <v>5</v>
      </c>
      <c r="AB51" s="144">
        <f t="shared" si="4"/>
        <v>7.142857143</v>
      </c>
      <c r="AC51" s="139">
        <f t="shared" si="5"/>
        <v>3</v>
      </c>
      <c r="AD51" s="28"/>
      <c r="AE51" s="28"/>
      <c r="AF51" s="28"/>
    </row>
    <row r="52">
      <c r="A52" s="37">
        <v>50.0</v>
      </c>
      <c r="B52" s="60" t="s">
        <v>243</v>
      </c>
      <c r="C52" s="149"/>
      <c r="D52" s="149"/>
      <c r="E52" s="149"/>
      <c r="F52" s="149"/>
      <c r="G52" s="149"/>
      <c r="H52" s="148">
        <v>5.0</v>
      </c>
      <c r="I52" s="148">
        <v>5.0</v>
      </c>
      <c r="J52" s="152">
        <v>5.0</v>
      </c>
      <c r="K52" s="142"/>
      <c r="L52" s="142"/>
      <c r="M52" s="35"/>
      <c r="N52" s="35"/>
      <c r="O52" s="38"/>
      <c r="P52" s="92">
        <v>5.0</v>
      </c>
      <c r="Q52" s="38"/>
      <c r="R52" s="38"/>
      <c r="S52" s="38"/>
      <c r="T52" s="35"/>
      <c r="U52" s="35"/>
      <c r="V52" s="35"/>
      <c r="W52" s="35"/>
      <c r="X52" s="35"/>
      <c r="Y52" s="35"/>
      <c r="Z52" s="35"/>
      <c r="AA52" s="84">
        <f t="shared" si="3"/>
        <v>5</v>
      </c>
      <c r="AB52" s="144">
        <f t="shared" si="4"/>
        <v>7.142857143</v>
      </c>
      <c r="AC52" s="139">
        <f t="shared" si="5"/>
        <v>4</v>
      </c>
      <c r="AD52" s="28"/>
      <c r="AE52" s="28"/>
      <c r="AF52" s="28"/>
    </row>
    <row r="53">
      <c r="A53" s="37">
        <v>51.0</v>
      </c>
      <c r="B53" s="60" t="s">
        <v>247</v>
      </c>
      <c r="C53" s="149"/>
      <c r="D53" s="149"/>
      <c r="E53" s="149"/>
      <c r="F53" s="149"/>
      <c r="G53" s="148">
        <v>5.0</v>
      </c>
      <c r="H53" s="149"/>
      <c r="I53" s="149"/>
      <c r="J53" s="141"/>
      <c r="K53" s="148">
        <v>5.0</v>
      </c>
      <c r="L53" s="142"/>
      <c r="M53" s="35"/>
      <c r="N53" s="35"/>
      <c r="O53" s="38"/>
      <c r="P53" s="92"/>
      <c r="Q53" s="38"/>
      <c r="R53" s="38"/>
      <c r="S53" s="38"/>
      <c r="T53" s="35"/>
      <c r="U53" s="35"/>
      <c r="V53" s="35"/>
      <c r="W53" s="35"/>
      <c r="X53" s="35"/>
      <c r="Y53" s="35"/>
      <c r="Z53" s="35"/>
      <c r="AA53" s="84">
        <f t="shared" si="3"/>
        <v>0</v>
      </c>
      <c r="AB53" s="144">
        <f t="shared" si="4"/>
        <v>0</v>
      </c>
      <c r="AC53" s="139">
        <f t="shared" si="5"/>
        <v>2</v>
      </c>
      <c r="AD53" s="28"/>
      <c r="AE53" s="28"/>
      <c r="AF53" s="28"/>
    </row>
    <row r="54">
      <c r="A54" s="37">
        <v>52.0</v>
      </c>
      <c r="B54" s="60" t="s">
        <v>251</v>
      </c>
      <c r="C54" s="149"/>
      <c r="D54" s="149"/>
      <c r="E54" s="149"/>
      <c r="F54" s="149"/>
      <c r="G54" s="148">
        <v>5.0</v>
      </c>
      <c r="H54" s="149"/>
      <c r="I54" s="149"/>
      <c r="J54" s="141"/>
      <c r="K54" s="142"/>
      <c r="L54" s="142"/>
      <c r="M54" s="35"/>
      <c r="N54" s="35"/>
      <c r="O54" s="38"/>
      <c r="P54" s="92"/>
      <c r="Q54" s="38"/>
      <c r="R54" s="38"/>
      <c r="S54" s="38"/>
      <c r="T54" s="35"/>
      <c r="U54" s="35"/>
      <c r="V54" s="35"/>
      <c r="W54" s="35"/>
      <c r="X54" s="35"/>
      <c r="Y54" s="35"/>
      <c r="Z54" s="35"/>
      <c r="AA54" s="84">
        <f t="shared" si="3"/>
        <v>0</v>
      </c>
      <c r="AB54" s="144">
        <f t="shared" si="4"/>
        <v>0</v>
      </c>
      <c r="AC54" s="139">
        <f t="shared" si="5"/>
        <v>1</v>
      </c>
      <c r="AD54" s="28"/>
      <c r="AE54" s="28"/>
      <c r="AF54" s="28"/>
    </row>
    <row r="55">
      <c r="A55" s="37">
        <v>53.0</v>
      </c>
      <c r="B55" s="60" t="s">
        <v>255</v>
      </c>
      <c r="C55" s="149"/>
      <c r="D55" s="149"/>
      <c r="E55" s="149"/>
      <c r="F55" s="149"/>
      <c r="G55" s="148">
        <v>5.0</v>
      </c>
      <c r="H55" s="149"/>
      <c r="I55" s="149"/>
      <c r="J55" s="141"/>
      <c r="K55" s="142"/>
      <c r="L55" s="142"/>
      <c r="M55" s="35"/>
      <c r="N55" s="35"/>
      <c r="O55" s="38"/>
      <c r="P55" s="92"/>
      <c r="Q55" s="38"/>
      <c r="R55" s="38"/>
      <c r="S55" s="38"/>
      <c r="T55" s="35"/>
      <c r="U55" s="35"/>
      <c r="V55" s="35"/>
      <c r="W55" s="35"/>
      <c r="X55" s="35"/>
      <c r="Y55" s="35"/>
      <c r="Z55" s="35"/>
      <c r="AA55" s="84">
        <f t="shared" si="3"/>
        <v>0</v>
      </c>
      <c r="AB55" s="144">
        <f t="shared" si="4"/>
        <v>0</v>
      </c>
      <c r="AC55" s="139">
        <f t="shared" si="5"/>
        <v>1</v>
      </c>
      <c r="AD55" s="28"/>
      <c r="AE55" s="28"/>
      <c r="AF55" s="28"/>
    </row>
    <row r="56">
      <c r="A56" s="37">
        <v>54.0</v>
      </c>
      <c r="B56" s="60" t="s">
        <v>258</v>
      </c>
      <c r="C56" s="149"/>
      <c r="D56" s="149"/>
      <c r="E56" s="149"/>
      <c r="F56" s="149"/>
      <c r="G56" s="148">
        <v>5.0</v>
      </c>
      <c r="H56" s="149"/>
      <c r="I56" s="149"/>
      <c r="J56" s="141"/>
      <c r="K56" s="142"/>
      <c r="L56" s="142"/>
      <c r="M56" s="35"/>
      <c r="N56" s="35"/>
      <c r="O56" s="38"/>
      <c r="P56" s="92"/>
      <c r="Q56" s="38"/>
      <c r="R56" s="38"/>
      <c r="S56" s="38"/>
      <c r="T56" s="35"/>
      <c r="U56" s="35"/>
      <c r="V56" s="35"/>
      <c r="W56" s="35"/>
      <c r="X56" s="35"/>
      <c r="Y56" s="35"/>
      <c r="Z56" s="35"/>
      <c r="AA56" s="84">
        <f t="shared" si="3"/>
        <v>0</v>
      </c>
      <c r="AB56" s="144">
        <f t="shared" si="4"/>
        <v>0</v>
      </c>
      <c r="AC56" s="139">
        <f t="shared" si="5"/>
        <v>1</v>
      </c>
      <c r="AD56" s="28"/>
      <c r="AE56" s="28"/>
      <c r="AF56" s="28"/>
    </row>
    <row r="57">
      <c r="A57" s="37">
        <v>55.0</v>
      </c>
      <c r="B57" s="60" t="s">
        <v>262</v>
      </c>
      <c r="C57" s="149"/>
      <c r="D57" s="149"/>
      <c r="E57" s="149"/>
      <c r="F57" s="149"/>
      <c r="G57" s="148">
        <v>5.0</v>
      </c>
      <c r="H57" s="149"/>
      <c r="I57" s="148">
        <v>5.0</v>
      </c>
      <c r="J57" s="141"/>
      <c r="K57" s="142"/>
      <c r="L57" s="142"/>
      <c r="M57" s="35"/>
      <c r="N57" s="35"/>
      <c r="O57" s="38"/>
      <c r="P57" s="92"/>
      <c r="Q57" s="38"/>
      <c r="R57" s="38"/>
      <c r="S57" s="38"/>
      <c r="T57" s="35"/>
      <c r="U57" s="35"/>
      <c r="V57" s="35"/>
      <c r="W57" s="35"/>
      <c r="X57" s="35"/>
      <c r="Y57" s="35"/>
      <c r="Z57" s="35"/>
      <c r="AA57" s="84">
        <f t="shared" si="3"/>
        <v>0</v>
      </c>
      <c r="AB57" s="144">
        <f t="shared" si="4"/>
        <v>0</v>
      </c>
      <c r="AC57" s="139">
        <f t="shared" si="5"/>
        <v>2</v>
      </c>
      <c r="AD57" s="28"/>
      <c r="AE57" s="28"/>
      <c r="AF57" s="28"/>
    </row>
    <row r="58">
      <c r="A58" s="37">
        <v>56.0</v>
      </c>
      <c r="B58" s="60" t="s">
        <v>266</v>
      </c>
      <c r="C58" s="149"/>
      <c r="D58" s="149"/>
      <c r="E58" s="149"/>
      <c r="F58" s="149"/>
      <c r="G58" s="148">
        <v>5.0</v>
      </c>
      <c r="H58" s="149"/>
      <c r="I58" s="149"/>
      <c r="J58" s="141"/>
      <c r="K58" s="142"/>
      <c r="L58" s="142"/>
      <c r="M58" s="35"/>
      <c r="N58" s="35"/>
      <c r="O58" s="38"/>
      <c r="P58" s="92"/>
      <c r="Q58" s="38"/>
      <c r="R58" s="38"/>
      <c r="S58" s="38"/>
      <c r="T58" s="35"/>
      <c r="U58" s="35"/>
      <c r="V58" s="35"/>
      <c r="W58" s="35"/>
      <c r="X58" s="35"/>
      <c r="Y58" s="35"/>
      <c r="Z58" s="35"/>
      <c r="AA58" s="84">
        <f t="shared" si="3"/>
        <v>0</v>
      </c>
      <c r="AB58" s="144">
        <f t="shared" si="4"/>
        <v>0</v>
      </c>
      <c r="AC58" s="139">
        <f t="shared" si="5"/>
        <v>1</v>
      </c>
      <c r="AD58" s="28"/>
      <c r="AE58" s="28"/>
      <c r="AF58" s="28"/>
    </row>
    <row r="59">
      <c r="A59" s="37">
        <v>57.0</v>
      </c>
      <c r="B59" s="60" t="s">
        <v>270</v>
      </c>
      <c r="C59" s="149"/>
      <c r="D59" s="149"/>
      <c r="E59" s="149"/>
      <c r="F59" s="149"/>
      <c r="G59" s="148">
        <v>5.0</v>
      </c>
      <c r="H59" s="149"/>
      <c r="I59" s="149"/>
      <c r="J59" s="141"/>
      <c r="K59" s="142"/>
      <c r="L59" s="142"/>
      <c r="M59" s="35"/>
      <c r="N59" s="35"/>
      <c r="O59" s="38"/>
      <c r="P59" s="92"/>
      <c r="Q59" s="38"/>
      <c r="R59" s="38"/>
      <c r="S59" s="38"/>
      <c r="T59" s="35"/>
      <c r="U59" s="35"/>
      <c r="V59" s="35"/>
      <c r="W59" s="35"/>
      <c r="X59" s="35"/>
      <c r="Y59" s="35"/>
      <c r="Z59" s="35"/>
      <c r="AA59" s="84">
        <f t="shared" si="3"/>
        <v>0</v>
      </c>
      <c r="AB59" s="144">
        <f t="shared" si="4"/>
        <v>0</v>
      </c>
      <c r="AC59" s="139">
        <f t="shared" si="5"/>
        <v>1</v>
      </c>
      <c r="AD59" s="28"/>
      <c r="AE59" s="28"/>
      <c r="AF59" s="28"/>
    </row>
    <row r="60">
      <c r="A60" s="37">
        <v>58.0</v>
      </c>
      <c r="B60" s="60" t="s">
        <v>273</v>
      </c>
      <c r="C60" s="149"/>
      <c r="D60" s="149"/>
      <c r="E60" s="149"/>
      <c r="F60" s="149"/>
      <c r="G60" s="149"/>
      <c r="H60" s="148">
        <v>5.0</v>
      </c>
      <c r="I60" s="149"/>
      <c r="J60" s="141"/>
      <c r="K60" s="142"/>
      <c r="L60" s="142"/>
      <c r="M60" s="35"/>
      <c r="N60" s="35"/>
      <c r="O60" s="38"/>
      <c r="P60" s="92"/>
      <c r="Q60" s="38"/>
      <c r="R60" s="38"/>
      <c r="S60" s="38"/>
      <c r="T60" s="35"/>
      <c r="U60" s="35"/>
      <c r="V60" s="35"/>
      <c r="W60" s="35"/>
      <c r="X60" s="35"/>
      <c r="Y60" s="35"/>
      <c r="Z60" s="35"/>
      <c r="AA60" s="84">
        <f t="shared" si="3"/>
        <v>0</v>
      </c>
      <c r="AB60" s="144">
        <f t="shared" si="4"/>
        <v>0</v>
      </c>
      <c r="AC60" s="139">
        <f t="shared" si="5"/>
        <v>1</v>
      </c>
      <c r="AD60" s="28"/>
      <c r="AE60" s="28"/>
      <c r="AF60" s="28"/>
    </row>
    <row r="61">
      <c r="A61" s="37">
        <v>59.0</v>
      </c>
      <c r="B61" s="60" t="s">
        <v>277</v>
      </c>
      <c r="C61" s="149"/>
      <c r="D61" s="149"/>
      <c r="E61" s="149"/>
      <c r="F61" s="149"/>
      <c r="G61" s="149"/>
      <c r="H61" s="148">
        <v>5.0</v>
      </c>
      <c r="I61" s="149"/>
      <c r="J61" s="141"/>
      <c r="K61" s="142"/>
      <c r="L61" s="142"/>
      <c r="M61" s="35"/>
      <c r="N61" s="35"/>
      <c r="O61" s="38"/>
      <c r="P61" s="92"/>
      <c r="Q61" s="38"/>
      <c r="R61" s="38"/>
      <c r="S61" s="38"/>
      <c r="T61" s="35"/>
      <c r="U61" s="35"/>
      <c r="V61" s="35"/>
      <c r="W61" s="35"/>
      <c r="X61" s="35"/>
      <c r="Y61" s="35"/>
      <c r="Z61" s="35"/>
      <c r="AA61" s="84">
        <f t="shared" si="3"/>
        <v>0</v>
      </c>
      <c r="AB61" s="144">
        <f t="shared" si="4"/>
        <v>0</v>
      </c>
      <c r="AC61" s="139">
        <f t="shared" si="5"/>
        <v>1</v>
      </c>
      <c r="AD61" s="28"/>
      <c r="AE61" s="28"/>
      <c r="AF61" s="28"/>
    </row>
    <row r="62">
      <c r="A62" s="37">
        <v>60.0</v>
      </c>
      <c r="B62" s="60" t="s">
        <v>281</v>
      </c>
      <c r="C62" s="149"/>
      <c r="D62" s="149"/>
      <c r="E62" s="149"/>
      <c r="F62" s="149"/>
      <c r="G62" s="149"/>
      <c r="H62" s="148">
        <v>5.0</v>
      </c>
      <c r="I62" s="149"/>
      <c r="J62" s="141"/>
      <c r="K62" s="142"/>
      <c r="L62" s="142"/>
      <c r="M62" s="35"/>
      <c r="N62" s="35"/>
      <c r="O62" s="38"/>
      <c r="P62" s="92">
        <v>5.0</v>
      </c>
      <c r="Q62" s="38"/>
      <c r="R62" s="38"/>
      <c r="S62" s="38"/>
      <c r="T62" s="35"/>
      <c r="U62" s="35"/>
      <c r="V62" s="35"/>
      <c r="W62" s="35"/>
      <c r="X62" s="35"/>
      <c r="Y62" s="35"/>
      <c r="Z62" s="35"/>
      <c r="AA62" s="84">
        <f t="shared" si="3"/>
        <v>5</v>
      </c>
      <c r="AB62" s="144">
        <f t="shared" si="4"/>
        <v>7.142857143</v>
      </c>
      <c r="AC62" s="139">
        <f t="shared" si="5"/>
        <v>2</v>
      </c>
      <c r="AD62" s="28"/>
      <c r="AE62" s="28"/>
      <c r="AF62" s="28"/>
    </row>
    <row r="63">
      <c r="A63" s="37">
        <v>61.0</v>
      </c>
      <c r="B63" s="60" t="s">
        <v>285</v>
      </c>
      <c r="C63" s="149"/>
      <c r="D63" s="149"/>
      <c r="E63" s="149"/>
      <c r="F63" s="149"/>
      <c r="G63" s="149"/>
      <c r="H63" s="148">
        <v>5.0</v>
      </c>
      <c r="I63" s="149"/>
      <c r="J63" s="141"/>
      <c r="K63" s="148">
        <v>5.0</v>
      </c>
      <c r="L63" s="142"/>
      <c r="M63" s="35"/>
      <c r="N63" s="35"/>
      <c r="O63" s="38"/>
      <c r="P63" s="92"/>
      <c r="Q63" s="38"/>
      <c r="R63" s="38"/>
      <c r="S63" s="38"/>
      <c r="T63" s="35"/>
      <c r="U63" s="35"/>
      <c r="V63" s="35"/>
      <c r="W63" s="35"/>
      <c r="X63" s="35"/>
      <c r="Y63" s="35"/>
      <c r="Z63" s="35"/>
      <c r="AA63" s="84">
        <f t="shared" si="3"/>
        <v>0</v>
      </c>
      <c r="AB63" s="144">
        <f t="shared" si="4"/>
        <v>0</v>
      </c>
      <c r="AC63" s="139">
        <f t="shared" si="5"/>
        <v>2</v>
      </c>
      <c r="AD63" s="28"/>
      <c r="AE63" s="28"/>
      <c r="AF63" s="28"/>
    </row>
    <row r="64">
      <c r="A64" s="14">
        <v>62.0</v>
      </c>
      <c r="B64" s="163" t="s">
        <v>289</v>
      </c>
      <c r="C64" s="149"/>
      <c r="D64" s="149"/>
      <c r="E64" s="149"/>
      <c r="F64" s="149"/>
      <c r="G64" s="149"/>
      <c r="H64" s="148">
        <v>5.0</v>
      </c>
      <c r="I64" s="149"/>
      <c r="J64" s="152">
        <v>5.0</v>
      </c>
      <c r="K64" s="148">
        <v>5.0</v>
      </c>
      <c r="L64" s="148">
        <v>5.0</v>
      </c>
      <c r="M64" s="35"/>
      <c r="N64" s="35">
        <v>5.0</v>
      </c>
      <c r="O64" s="38">
        <v>5.0</v>
      </c>
      <c r="P64" s="92">
        <v>5.0</v>
      </c>
      <c r="Q64" s="38">
        <v>5.0</v>
      </c>
      <c r="R64" s="38"/>
      <c r="S64" s="38">
        <v>5.0</v>
      </c>
      <c r="T64" s="35">
        <v>5.0</v>
      </c>
      <c r="U64" s="35">
        <v>5.0</v>
      </c>
      <c r="V64" s="35">
        <v>5.0</v>
      </c>
      <c r="W64" s="56"/>
      <c r="X64" s="56"/>
      <c r="Y64" s="56"/>
      <c r="Z64" s="56"/>
      <c r="AA64" s="84">
        <f t="shared" si="3"/>
        <v>40</v>
      </c>
      <c r="AB64" s="144">
        <f t="shared" si="4"/>
        <v>57.14285714</v>
      </c>
      <c r="AC64" s="139">
        <f t="shared" si="5"/>
        <v>12</v>
      </c>
      <c r="AD64" s="28"/>
      <c r="AE64" s="28"/>
      <c r="AF64" s="28"/>
    </row>
    <row r="65">
      <c r="A65" s="37">
        <v>63.0</v>
      </c>
      <c r="B65" s="60" t="s">
        <v>293</v>
      </c>
      <c r="C65" s="149"/>
      <c r="D65" s="149"/>
      <c r="E65" s="149"/>
      <c r="F65" s="149"/>
      <c r="G65" s="149"/>
      <c r="H65" s="148">
        <v>5.0</v>
      </c>
      <c r="I65" s="149"/>
      <c r="J65" s="141"/>
      <c r="K65" s="142"/>
      <c r="L65" s="142"/>
      <c r="M65" s="35"/>
      <c r="N65" s="35"/>
      <c r="O65" s="38"/>
      <c r="P65" s="92"/>
      <c r="Q65" s="38"/>
      <c r="R65" s="38"/>
      <c r="S65" s="38"/>
      <c r="T65" s="35"/>
      <c r="U65" s="35"/>
      <c r="V65" s="35"/>
      <c r="W65" s="37"/>
      <c r="X65" s="37"/>
      <c r="Y65" s="37"/>
      <c r="Z65" s="37">
        <v>5.0</v>
      </c>
      <c r="AA65" s="84">
        <f t="shared" si="3"/>
        <v>5</v>
      </c>
      <c r="AB65" s="144">
        <f t="shared" si="4"/>
        <v>7.142857143</v>
      </c>
      <c r="AC65" s="139">
        <f t="shared" si="5"/>
        <v>2</v>
      </c>
      <c r="AD65" s="28"/>
      <c r="AE65" s="28"/>
      <c r="AF65" s="28"/>
    </row>
    <row r="66">
      <c r="A66" s="37">
        <v>64.0</v>
      </c>
      <c r="B66" s="60" t="s">
        <v>296</v>
      </c>
      <c r="C66" s="149"/>
      <c r="D66" s="149"/>
      <c r="E66" s="149"/>
      <c r="F66" s="149"/>
      <c r="G66" s="149"/>
      <c r="H66" s="149"/>
      <c r="I66" s="148">
        <v>5.0</v>
      </c>
      <c r="J66" s="141"/>
      <c r="K66" s="142"/>
      <c r="L66" s="142"/>
      <c r="M66" s="35"/>
      <c r="N66" s="35"/>
      <c r="O66" s="38"/>
      <c r="P66" s="92"/>
      <c r="Q66" s="38"/>
      <c r="R66" s="38"/>
      <c r="S66" s="38"/>
      <c r="T66" s="35"/>
      <c r="U66" s="35">
        <v>5.0</v>
      </c>
      <c r="V66" s="35"/>
      <c r="W66" s="35"/>
      <c r="X66" s="35"/>
      <c r="Y66" s="35"/>
      <c r="Z66" s="35"/>
      <c r="AA66" s="84">
        <f t="shared" si="3"/>
        <v>5</v>
      </c>
      <c r="AB66" s="144">
        <f t="shared" si="4"/>
        <v>7.142857143</v>
      </c>
      <c r="AC66" s="139">
        <f t="shared" si="5"/>
        <v>2</v>
      </c>
      <c r="AD66" s="28"/>
      <c r="AE66" s="28"/>
      <c r="AF66" s="28"/>
    </row>
    <row r="67">
      <c r="A67" s="37">
        <v>65.0</v>
      </c>
      <c r="B67" s="93" t="s">
        <v>300</v>
      </c>
      <c r="C67" s="164"/>
      <c r="D67" s="164"/>
      <c r="E67" s="164"/>
      <c r="F67" s="164"/>
      <c r="G67" s="164"/>
      <c r="H67" s="164"/>
      <c r="I67" s="164"/>
      <c r="J67" s="165">
        <v>5.0</v>
      </c>
      <c r="K67" s="164"/>
      <c r="L67" s="164"/>
      <c r="M67" s="35"/>
      <c r="N67" s="35"/>
      <c r="O67" s="38"/>
      <c r="P67" s="92"/>
      <c r="Q67" s="38"/>
      <c r="R67" s="38"/>
      <c r="S67" s="38"/>
      <c r="T67" s="35"/>
      <c r="U67" s="35"/>
      <c r="V67" s="35"/>
      <c r="W67" s="35"/>
      <c r="X67" s="35"/>
      <c r="Y67" s="35"/>
      <c r="Z67" s="35"/>
      <c r="AA67" s="84">
        <f t="shared" si="3"/>
        <v>0</v>
      </c>
      <c r="AB67" s="144">
        <f t="shared" si="4"/>
        <v>0</v>
      </c>
      <c r="AC67" s="139">
        <f t="shared" si="5"/>
        <v>1</v>
      </c>
      <c r="AD67" s="28"/>
      <c r="AE67" s="28"/>
      <c r="AF67" s="28"/>
    </row>
    <row r="68">
      <c r="A68" s="35">
        <v>66.0</v>
      </c>
      <c r="B68" s="60" t="s">
        <v>304</v>
      </c>
      <c r="C68" s="149"/>
      <c r="D68" s="149"/>
      <c r="E68" s="149"/>
      <c r="F68" s="149"/>
      <c r="G68" s="149"/>
      <c r="H68" s="149"/>
      <c r="I68" s="149"/>
      <c r="J68" s="148">
        <v>5.0</v>
      </c>
      <c r="K68" s="149"/>
      <c r="L68" s="149"/>
      <c r="M68" s="35"/>
      <c r="N68" s="35"/>
      <c r="O68" s="38"/>
      <c r="P68" s="92"/>
      <c r="Q68" s="38"/>
      <c r="R68" s="38"/>
      <c r="S68" s="38"/>
      <c r="T68" s="35"/>
      <c r="U68" s="35"/>
      <c r="V68" s="35"/>
      <c r="W68" s="35"/>
      <c r="X68" s="35"/>
      <c r="Y68" s="35"/>
      <c r="Z68" s="35"/>
      <c r="AA68" s="84">
        <f t="shared" si="3"/>
        <v>0</v>
      </c>
      <c r="AB68" s="144">
        <f t="shared" si="4"/>
        <v>0</v>
      </c>
      <c r="AC68" s="139">
        <f t="shared" si="5"/>
        <v>1</v>
      </c>
      <c r="AD68" s="28"/>
      <c r="AE68" s="28"/>
      <c r="AF68" s="28"/>
    </row>
    <row r="69">
      <c r="A69" s="37">
        <v>67.0</v>
      </c>
      <c r="B69" s="60" t="s">
        <v>308</v>
      </c>
      <c r="C69" s="149"/>
      <c r="D69" s="149"/>
      <c r="E69" s="149"/>
      <c r="F69" s="149"/>
      <c r="G69" s="149"/>
      <c r="H69" s="149"/>
      <c r="I69" s="149"/>
      <c r="J69" s="148">
        <v>5.0</v>
      </c>
      <c r="K69" s="149"/>
      <c r="L69" s="149"/>
      <c r="M69" s="35"/>
      <c r="N69" s="35"/>
      <c r="O69" s="38"/>
      <c r="P69" s="92">
        <v>5.0</v>
      </c>
      <c r="Q69" s="38"/>
      <c r="R69" s="38"/>
      <c r="S69" s="38"/>
      <c r="T69" s="35"/>
      <c r="U69" s="35"/>
      <c r="V69" s="35"/>
      <c r="W69" s="35"/>
      <c r="X69" s="35"/>
      <c r="Y69" s="35"/>
      <c r="Z69" s="35"/>
      <c r="AA69" s="84">
        <f t="shared" si="3"/>
        <v>5</v>
      </c>
      <c r="AB69" s="144">
        <f t="shared" si="4"/>
        <v>7.142857143</v>
      </c>
      <c r="AC69" s="139">
        <f t="shared" si="5"/>
        <v>2</v>
      </c>
      <c r="AD69" s="28"/>
      <c r="AE69" s="28"/>
      <c r="AF69" s="28"/>
    </row>
    <row r="70">
      <c r="A70" s="37">
        <v>68.0</v>
      </c>
      <c r="B70" s="60" t="s">
        <v>311</v>
      </c>
      <c r="C70" s="149"/>
      <c r="D70" s="149"/>
      <c r="E70" s="149"/>
      <c r="F70" s="149"/>
      <c r="G70" s="149"/>
      <c r="H70" s="149"/>
      <c r="I70" s="149"/>
      <c r="J70" s="148">
        <v>5.0</v>
      </c>
      <c r="K70" s="149"/>
      <c r="L70" s="149"/>
      <c r="M70" s="35"/>
      <c r="N70" s="35"/>
      <c r="O70" s="38"/>
      <c r="P70" s="92"/>
      <c r="Q70" s="38"/>
      <c r="R70" s="38"/>
      <c r="S70" s="38"/>
      <c r="T70" s="35"/>
      <c r="U70" s="35"/>
      <c r="V70" s="35"/>
      <c r="W70" s="35"/>
      <c r="X70" s="35"/>
      <c r="Y70" s="35"/>
      <c r="Z70" s="35"/>
      <c r="AA70" s="84">
        <f t="shared" si="3"/>
        <v>0</v>
      </c>
      <c r="AB70" s="144">
        <f t="shared" si="4"/>
        <v>0</v>
      </c>
      <c r="AC70" s="139">
        <f t="shared" si="5"/>
        <v>1</v>
      </c>
      <c r="AD70" s="28"/>
      <c r="AE70" s="28"/>
      <c r="AF70" s="28"/>
    </row>
    <row r="71">
      <c r="A71" s="37">
        <v>69.0</v>
      </c>
      <c r="B71" s="60" t="s">
        <v>315</v>
      </c>
      <c r="C71" s="149"/>
      <c r="D71" s="149"/>
      <c r="E71" s="149"/>
      <c r="F71" s="149"/>
      <c r="G71" s="149"/>
      <c r="H71" s="149"/>
      <c r="I71" s="149"/>
      <c r="J71" s="149"/>
      <c r="K71" s="148">
        <v>5.0</v>
      </c>
      <c r="L71" s="149"/>
      <c r="M71" s="35"/>
      <c r="N71" s="35"/>
      <c r="O71" s="38"/>
      <c r="P71" s="92"/>
      <c r="Q71" s="38"/>
      <c r="R71" s="38"/>
      <c r="S71" s="38"/>
      <c r="T71" s="35"/>
      <c r="U71" s="35"/>
      <c r="V71" s="35"/>
      <c r="W71" s="35"/>
      <c r="X71" s="35"/>
      <c r="Y71" s="35"/>
      <c r="Z71" s="35"/>
      <c r="AA71" s="84">
        <f t="shared" si="3"/>
        <v>0</v>
      </c>
      <c r="AB71" s="144">
        <f t="shared" si="4"/>
        <v>0</v>
      </c>
      <c r="AC71" s="139">
        <f t="shared" si="5"/>
        <v>1</v>
      </c>
      <c r="AD71" s="28"/>
      <c r="AE71" s="28"/>
      <c r="AF71" s="28"/>
    </row>
    <row r="72">
      <c r="A72" s="37">
        <v>70.0</v>
      </c>
      <c r="B72" s="60" t="s">
        <v>319</v>
      </c>
      <c r="C72" s="149"/>
      <c r="D72" s="149"/>
      <c r="E72" s="149"/>
      <c r="F72" s="149"/>
      <c r="G72" s="149"/>
      <c r="H72" s="149"/>
      <c r="I72" s="149"/>
      <c r="J72" s="149"/>
      <c r="K72" s="148">
        <v>5.0</v>
      </c>
      <c r="L72" s="149"/>
      <c r="M72" s="35">
        <v>5.0</v>
      </c>
      <c r="N72" s="35">
        <v>5.0</v>
      </c>
      <c r="O72" s="38"/>
      <c r="P72" s="92">
        <v>5.0</v>
      </c>
      <c r="Q72" s="38">
        <v>5.0</v>
      </c>
      <c r="R72" s="38"/>
      <c r="S72" s="38">
        <v>5.0</v>
      </c>
      <c r="T72" s="35">
        <v>5.0</v>
      </c>
      <c r="U72" s="35"/>
      <c r="V72" s="35">
        <v>5.0</v>
      </c>
      <c r="W72" s="35">
        <v>5.0</v>
      </c>
      <c r="X72" s="35"/>
      <c r="Y72" s="35"/>
      <c r="Z72" s="35"/>
      <c r="AA72" s="84">
        <f t="shared" si="3"/>
        <v>40</v>
      </c>
      <c r="AB72" s="144">
        <f t="shared" si="4"/>
        <v>57.14285714</v>
      </c>
      <c r="AC72" s="139">
        <f t="shared" si="5"/>
        <v>9</v>
      </c>
      <c r="AD72" s="28"/>
      <c r="AE72" s="28"/>
      <c r="AF72" s="28"/>
    </row>
    <row r="73">
      <c r="A73" s="37">
        <v>71.0</v>
      </c>
      <c r="B73" s="60" t="s">
        <v>323</v>
      </c>
      <c r="C73" s="149"/>
      <c r="D73" s="149"/>
      <c r="E73" s="149"/>
      <c r="F73" s="149"/>
      <c r="G73" s="149"/>
      <c r="H73" s="149"/>
      <c r="I73" s="149"/>
      <c r="J73" s="149"/>
      <c r="K73" s="148">
        <v>5.0</v>
      </c>
      <c r="L73" s="149"/>
      <c r="M73" s="35"/>
      <c r="N73" s="35"/>
      <c r="O73" s="38"/>
      <c r="P73" s="92"/>
      <c r="Q73" s="38"/>
      <c r="R73" s="38"/>
      <c r="S73" s="38"/>
      <c r="T73" s="35"/>
      <c r="U73" s="35"/>
      <c r="V73" s="35"/>
      <c r="W73" s="35"/>
      <c r="X73" s="35"/>
      <c r="Y73" s="35"/>
      <c r="Z73" s="35"/>
      <c r="AA73" s="84">
        <f t="shared" si="3"/>
        <v>0</v>
      </c>
      <c r="AB73" s="144">
        <f t="shared" si="4"/>
        <v>0</v>
      </c>
      <c r="AC73" s="139">
        <f t="shared" si="5"/>
        <v>1</v>
      </c>
      <c r="AD73" s="28"/>
      <c r="AE73" s="28"/>
      <c r="AF73" s="28"/>
    </row>
    <row r="74">
      <c r="A74" s="37">
        <v>72.0</v>
      </c>
      <c r="B74" s="60" t="s">
        <v>327</v>
      </c>
      <c r="C74" s="149"/>
      <c r="D74" s="149"/>
      <c r="E74" s="149"/>
      <c r="F74" s="149"/>
      <c r="G74" s="149"/>
      <c r="H74" s="149"/>
      <c r="I74" s="149"/>
      <c r="J74" s="149"/>
      <c r="K74" s="148">
        <v>5.0</v>
      </c>
      <c r="L74" s="149"/>
      <c r="M74" s="35"/>
      <c r="N74" s="35"/>
      <c r="O74" s="38"/>
      <c r="P74" s="92"/>
      <c r="Q74" s="38"/>
      <c r="R74" s="38"/>
      <c r="S74" s="38"/>
      <c r="T74" s="35"/>
      <c r="U74" s="35"/>
      <c r="V74" s="35"/>
      <c r="W74" s="35"/>
      <c r="X74" s="35"/>
      <c r="Y74" s="35"/>
      <c r="Z74" s="35"/>
      <c r="AA74" s="84">
        <f t="shared" si="3"/>
        <v>0</v>
      </c>
      <c r="AB74" s="144">
        <f t="shared" si="4"/>
        <v>0</v>
      </c>
      <c r="AC74" s="139">
        <f t="shared" si="5"/>
        <v>1</v>
      </c>
      <c r="AD74" s="28"/>
      <c r="AE74" s="28"/>
      <c r="AF74" s="28"/>
    </row>
    <row r="75">
      <c r="A75" s="37">
        <v>73.0</v>
      </c>
      <c r="B75" s="60" t="s">
        <v>331</v>
      </c>
      <c r="C75" s="149"/>
      <c r="D75" s="149"/>
      <c r="E75" s="149"/>
      <c r="F75" s="149"/>
      <c r="G75" s="149"/>
      <c r="H75" s="149"/>
      <c r="I75" s="149"/>
      <c r="J75" s="149"/>
      <c r="K75" s="148">
        <v>5.0</v>
      </c>
      <c r="L75" s="149"/>
      <c r="M75" s="35"/>
      <c r="N75" s="35"/>
      <c r="O75" s="38"/>
      <c r="P75" s="92"/>
      <c r="Q75" s="38"/>
      <c r="R75" s="38"/>
      <c r="S75" s="38"/>
      <c r="T75" s="35"/>
      <c r="U75" s="35"/>
      <c r="V75" s="35"/>
      <c r="W75" s="35"/>
      <c r="X75" s="35"/>
      <c r="Y75" s="35"/>
      <c r="Z75" s="35"/>
      <c r="AA75" s="84">
        <f t="shared" si="3"/>
        <v>0</v>
      </c>
      <c r="AB75" s="144">
        <f t="shared" si="4"/>
        <v>0</v>
      </c>
      <c r="AC75" s="139">
        <f t="shared" si="5"/>
        <v>1</v>
      </c>
      <c r="AD75" s="28"/>
      <c r="AE75" s="28"/>
      <c r="AF75" s="28"/>
    </row>
    <row r="76">
      <c r="A76" s="37">
        <v>74.0</v>
      </c>
      <c r="B76" s="60" t="s">
        <v>335</v>
      </c>
      <c r="C76" s="149"/>
      <c r="D76" s="149"/>
      <c r="E76" s="149"/>
      <c r="F76" s="149"/>
      <c r="G76" s="149"/>
      <c r="H76" s="149"/>
      <c r="I76" s="149"/>
      <c r="J76" s="149"/>
      <c r="K76" s="148">
        <v>5.0</v>
      </c>
      <c r="L76" s="149"/>
      <c r="M76" s="35"/>
      <c r="N76" s="35"/>
      <c r="O76" s="38"/>
      <c r="P76" s="92"/>
      <c r="Q76" s="38"/>
      <c r="R76" s="38"/>
      <c r="S76" s="38"/>
      <c r="T76" s="35"/>
      <c r="U76" s="35"/>
      <c r="V76" s="35"/>
      <c r="W76" s="35"/>
      <c r="X76" s="35"/>
      <c r="Y76" s="35"/>
      <c r="Z76" s="35"/>
      <c r="AA76" s="84">
        <f t="shared" si="3"/>
        <v>0</v>
      </c>
      <c r="AB76" s="144">
        <f t="shared" si="4"/>
        <v>0</v>
      </c>
      <c r="AC76" s="139">
        <f t="shared" si="5"/>
        <v>1</v>
      </c>
      <c r="AD76" s="28"/>
      <c r="AE76" s="28"/>
      <c r="AF76" s="28"/>
    </row>
    <row r="77">
      <c r="A77" s="37">
        <v>75.0</v>
      </c>
      <c r="B77" s="60" t="s">
        <v>339</v>
      </c>
      <c r="C77" s="149"/>
      <c r="D77" s="149"/>
      <c r="E77" s="149"/>
      <c r="F77" s="149"/>
      <c r="G77" s="149"/>
      <c r="H77" s="149"/>
      <c r="I77" s="149"/>
      <c r="J77" s="149"/>
      <c r="K77" s="148">
        <v>5.0</v>
      </c>
      <c r="L77" s="149"/>
      <c r="M77" s="35"/>
      <c r="N77" s="35"/>
      <c r="O77" s="38"/>
      <c r="P77" s="92"/>
      <c r="Q77" s="38"/>
      <c r="R77" s="38"/>
      <c r="S77" s="38"/>
      <c r="T77" s="35"/>
      <c r="U77" s="35"/>
      <c r="V77" s="35"/>
      <c r="W77" s="35"/>
      <c r="X77" s="35"/>
      <c r="Y77" s="35"/>
      <c r="Z77" s="35"/>
      <c r="AA77" s="84">
        <f t="shared" si="3"/>
        <v>0</v>
      </c>
      <c r="AB77" s="144">
        <f t="shared" si="4"/>
        <v>0</v>
      </c>
      <c r="AC77" s="139">
        <f t="shared" si="5"/>
        <v>1</v>
      </c>
      <c r="AD77" s="28"/>
      <c r="AE77" s="28"/>
      <c r="AF77" s="28"/>
    </row>
    <row r="78">
      <c r="A78" s="37">
        <v>76.0</v>
      </c>
      <c r="B78" s="60" t="s">
        <v>343</v>
      </c>
      <c r="C78" s="149"/>
      <c r="D78" s="149"/>
      <c r="E78" s="149"/>
      <c r="F78" s="149"/>
      <c r="G78" s="149"/>
      <c r="H78" s="149"/>
      <c r="I78" s="149"/>
      <c r="J78" s="149"/>
      <c r="K78" s="148">
        <v>5.0</v>
      </c>
      <c r="L78" s="149"/>
      <c r="M78" s="35"/>
      <c r="N78" s="35"/>
      <c r="O78" s="38"/>
      <c r="P78" s="92"/>
      <c r="Q78" s="38"/>
      <c r="R78" s="38"/>
      <c r="S78" s="38"/>
      <c r="T78" s="35"/>
      <c r="U78" s="35"/>
      <c r="V78" s="35"/>
      <c r="W78" s="35"/>
      <c r="X78" s="35"/>
      <c r="Y78" s="35"/>
      <c r="Z78" s="35"/>
      <c r="AA78" s="84">
        <f t="shared" si="3"/>
        <v>0</v>
      </c>
      <c r="AB78" s="144">
        <f t="shared" si="4"/>
        <v>0</v>
      </c>
      <c r="AC78" s="139">
        <f t="shared" si="5"/>
        <v>1</v>
      </c>
      <c r="AD78" s="28"/>
      <c r="AE78" s="28"/>
      <c r="AF78" s="28"/>
    </row>
    <row r="79">
      <c r="A79" s="37">
        <v>77.0</v>
      </c>
      <c r="B79" s="60" t="s">
        <v>347</v>
      </c>
      <c r="C79" s="149"/>
      <c r="D79" s="149"/>
      <c r="E79" s="149"/>
      <c r="F79" s="149"/>
      <c r="G79" s="149"/>
      <c r="H79" s="149"/>
      <c r="I79" s="149"/>
      <c r="J79" s="149"/>
      <c r="K79" s="148">
        <v>5.0</v>
      </c>
      <c r="L79" s="149"/>
      <c r="M79" s="35"/>
      <c r="N79" s="35"/>
      <c r="O79" s="38">
        <v>5.0</v>
      </c>
      <c r="P79" s="92">
        <v>5.0</v>
      </c>
      <c r="Q79" s="38"/>
      <c r="R79" s="38"/>
      <c r="S79" s="38"/>
      <c r="T79" s="35">
        <v>5.0</v>
      </c>
      <c r="U79" s="35">
        <v>5.0</v>
      </c>
      <c r="V79" s="35"/>
      <c r="W79" s="35">
        <v>5.0</v>
      </c>
      <c r="X79" s="35">
        <v>5.0</v>
      </c>
      <c r="Y79" s="35"/>
      <c r="Z79" s="35"/>
      <c r="AA79" s="84">
        <f t="shared" si="3"/>
        <v>30</v>
      </c>
      <c r="AB79" s="144">
        <f t="shared" si="4"/>
        <v>42.85714286</v>
      </c>
      <c r="AC79" s="139">
        <f t="shared" si="5"/>
        <v>7</v>
      </c>
      <c r="AD79" s="28"/>
      <c r="AE79" s="28"/>
      <c r="AF79" s="28"/>
    </row>
    <row r="80">
      <c r="A80" s="37">
        <v>78.0</v>
      </c>
      <c r="B80" s="60" t="s">
        <v>351</v>
      </c>
      <c r="C80" s="149"/>
      <c r="D80" s="149"/>
      <c r="E80" s="149"/>
      <c r="F80" s="149"/>
      <c r="G80" s="149"/>
      <c r="H80" s="149"/>
      <c r="I80" s="149"/>
      <c r="J80" s="149"/>
      <c r="K80" s="149"/>
      <c r="L80" s="148">
        <v>5.0</v>
      </c>
      <c r="M80" s="35"/>
      <c r="N80" s="35"/>
      <c r="O80" s="38"/>
      <c r="P80" s="92"/>
      <c r="Q80" s="38"/>
      <c r="R80" s="38"/>
      <c r="S80" s="38">
        <v>5.0</v>
      </c>
      <c r="T80" s="35"/>
      <c r="U80" s="35"/>
      <c r="V80" s="35"/>
      <c r="W80" s="35">
        <v>5.0</v>
      </c>
      <c r="X80" s="35">
        <v>5.0</v>
      </c>
      <c r="Y80" s="35"/>
      <c r="Z80" s="35"/>
      <c r="AA80" s="84">
        <f t="shared" si="3"/>
        <v>15</v>
      </c>
      <c r="AB80" s="144">
        <f t="shared" si="4"/>
        <v>21.42857143</v>
      </c>
      <c r="AC80" s="139">
        <f t="shared" si="5"/>
        <v>4</v>
      </c>
      <c r="AD80" s="28"/>
      <c r="AE80" s="28"/>
      <c r="AF80" s="28"/>
    </row>
    <row r="81">
      <c r="A81" s="37">
        <v>79.0</v>
      </c>
      <c r="B81" s="60" t="s">
        <v>355</v>
      </c>
      <c r="C81" s="149"/>
      <c r="D81" s="149"/>
      <c r="E81" s="149"/>
      <c r="F81" s="149"/>
      <c r="G81" s="149"/>
      <c r="H81" s="149"/>
      <c r="I81" s="149"/>
      <c r="J81" s="149"/>
      <c r="K81" s="149"/>
      <c r="L81" s="148">
        <v>5.0</v>
      </c>
      <c r="M81" s="35"/>
      <c r="N81" s="35"/>
      <c r="O81" s="38"/>
      <c r="P81" s="92"/>
      <c r="Q81" s="38"/>
      <c r="R81" s="38"/>
      <c r="S81" s="38"/>
      <c r="T81" s="35"/>
      <c r="U81" s="35"/>
      <c r="V81" s="35"/>
      <c r="W81" s="35"/>
      <c r="X81" s="35"/>
      <c r="Y81" s="35"/>
      <c r="Z81" s="35"/>
      <c r="AA81" s="84">
        <f t="shared" si="3"/>
        <v>0</v>
      </c>
      <c r="AB81" s="144">
        <f t="shared" si="4"/>
        <v>0</v>
      </c>
      <c r="AC81" s="139">
        <f t="shared" si="5"/>
        <v>1</v>
      </c>
      <c r="AD81" s="28"/>
      <c r="AE81" s="28"/>
      <c r="AF81" s="28"/>
    </row>
    <row r="82">
      <c r="A82" s="37">
        <v>80.0</v>
      </c>
      <c r="B82" s="60" t="s">
        <v>359</v>
      </c>
      <c r="C82" s="149"/>
      <c r="D82" s="149"/>
      <c r="E82" s="149"/>
      <c r="F82" s="149"/>
      <c r="G82" s="149"/>
      <c r="H82" s="149"/>
      <c r="I82" s="149"/>
      <c r="J82" s="149"/>
      <c r="K82" s="149"/>
      <c r="L82" s="148"/>
      <c r="M82" s="35">
        <v>5.0</v>
      </c>
      <c r="N82" s="35"/>
      <c r="O82" s="38"/>
      <c r="P82" s="92">
        <v>5.0</v>
      </c>
      <c r="Q82" s="38"/>
      <c r="R82" s="38"/>
      <c r="S82" s="38"/>
      <c r="T82" s="35"/>
      <c r="U82" s="35"/>
      <c r="V82" s="35"/>
      <c r="W82" s="35"/>
      <c r="X82" s="35"/>
      <c r="Y82" s="35"/>
      <c r="Z82" s="35"/>
      <c r="AA82" s="84">
        <f t="shared" si="3"/>
        <v>10</v>
      </c>
      <c r="AB82" s="144">
        <f t="shared" si="4"/>
        <v>14.28571429</v>
      </c>
      <c r="AC82" s="139">
        <f t="shared" si="5"/>
        <v>2</v>
      </c>
      <c r="AD82" s="28"/>
      <c r="AE82" s="28"/>
      <c r="AF82" s="28"/>
    </row>
    <row r="83">
      <c r="A83" s="37">
        <v>81.0</v>
      </c>
      <c r="B83" s="60" t="s">
        <v>363</v>
      </c>
      <c r="C83" s="149"/>
      <c r="D83" s="149"/>
      <c r="E83" s="149"/>
      <c r="F83" s="149"/>
      <c r="G83" s="149"/>
      <c r="H83" s="149"/>
      <c r="I83" s="149"/>
      <c r="J83" s="166"/>
      <c r="K83" s="166"/>
      <c r="L83" s="166"/>
      <c r="M83" s="38">
        <v>5.0</v>
      </c>
      <c r="N83" s="49"/>
      <c r="O83" s="49"/>
      <c r="P83" s="92"/>
      <c r="Q83" s="38"/>
      <c r="R83" s="38"/>
      <c r="S83" s="38"/>
      <c r="T83" s="35"/>
      <c r="U83" s="35">
        <v>5.0</v>
      </c>
      <c r="V83" s="35"/>
      <c r="W83" s="35"/>
      <c r="X83" s="35"/>
      <c r="Y83" s="35"/>
      <c r="Z83" s="35"/>
      <c r="AA83" s="84">
        <f t="shared" si="3"/>
        <v>10</v>
      </c>
      <c r="AB83" s="144">
        <f t="shared" si="4"/>
        <v>14.28571429</v>
      </c>
      <c r="AC83" s="139">
        <f t="shared" si="5"/>
        <v>2</v>
      </c>
      <c r="AD83" s="28"/>
      <c r="AE83" s="28"/>
      <c r="AF83" s="28"/>
    </row>
    <row r="84">
      <c r="A84" s="37">
        <v>82.0</v>
      </c>
      <c r="B84" s="60" t="s">
        <v>367</v>
      </c>
      <c r="C84" s="149"/>
      <c r="D84" s="149"/>
      <c r="E84" s="149"/>
      <c r="F84" s="149"/>
      <c r="G84" s="149"/>
      <c r="H84" s="149"/>
      <c r="I84" s="149"/>
      <c r="J84" s="166"/>
      <c r="K84" s="166"/>
      <c r="L84" s="166"/>
      <c r="M84" s="38">
        <v>5.0</v>
      </c>
      <c r="N84" s="49"/>
      <c r="O84" s="49"/>
      <c r="P84" s="92"/>
      <c r="Q84" s="38"/>
      <c r="R84" s="38"/>
      <c r="S84" s="38"/>
      <c r="T84" s="35"/>
      <c r="U84" s="35"/>
      <c r="V84" s="35"/>
      <c r="W84" s="35"/>
      <c r="X84" s="35"/>
      <c r="Y84" s="35"/>
      <c r="Z84" s="35"/>
      <c r="AA84" s="84">
        <f t="shared" si="3"/>
        <v>5</v>
      </c>
      <c r="AB84" s="144">
        <f t="shared" si="4"/>
        <v>7.142857143</v>
      </c>
      <c r="AC84" s="139">
        <f t="shared" si="5"/>
        <v>1</v>
      </c>
      <c r="AD84" s="28"/>
      <c r="AE84" s="28"/>
      <c r="AF84" s="28"/>
    </row>
    <row r="85">
      <c r="A85" s="37">
        <v>83.0</v>
      </c>
      <c r="B85" s="60" t="s">
        <v>371</v>
      </c>
      <c r="C85" s="149"/>
      <c r="D85" s="149"/>
      <c r="E85" s="149"/>
      <c r="F85" s="149"/>
      <c r="G85" s="149"/>
      <c r="H85" s="149"/>
      <c r="I85" s="149"/>
      <c r="J85" s="166"/>
      <c r="K85" s="166"/>
      <c r="L85" s="166"/>
      <c r="M85" s="38">
        <v>5.0</v>
      </c>
      <c r="N85" s="49"/>
      <c r="O85" s="49"/>
      <c r="P85" s="92"/>
      <c r="Q85" s="38"/>
      <c r="R85" s="38"/>
      <c r="S85" s="38"/>
      <c r="T85" s="35"/>
      <c r="U85" s="35"/>
      <c r="V85" s="35"/>
      <c r="W85" s="35"/>
      <c r="X85" s="35"/>
      <c r="Y85" s="35"/>
      <c r="Z85" s="35"/>
      <c r="AA85" s="84">
        <f t="shared" si="3"/>
        <v>5</v>
      </c>
      <c r="AB85" s="144">
        <f t="shared" si="4"/>
        <v>7.142857143</v>
      </c>
      <c r="AC85" s="139">
        <f t="shared" si="5"/>
        <v>1</v>
      </c>
      <c r="AD85" s="28"/>
      <c r="AE85" s="28"/>
      <c r="AF85" s="28"/>
    </row>
    <row r="86">
      <c r="A86" s="37">
        <v>84.0</v>
      </c>
      <c r="B86" s="60" t="s">
        <v>376</v>
      </c>
      <c r="C86" s="149"/>
      <c r="D86" s="149"/>
      <c r="E86" s="149"/>
      <c r="F86" s="149"/>
      <c r="G86" s="149"/>
      <c r="H86" s="149"/>
      <c r="I86" s="149"/>
      <c r="J86" s="166"/>
      <c r="K86" s="166"/>
      <c r="L86" s="166"/>
      <c r="M86" s="38">
        <v>5.0</v>
      </c>
      <c r="N86" s="49"/>
      <c r="O86" s="49"/>
      <c r="P86" s="92"/>
      <c r="Q86" s="38"/>
      <c r="R86" s="38"/>
      <c r="S86" s="38"/>
      <c r="T86" s="35"/>
      <c r="U86" s="35"/>
      <c r="V86" s="35"/>
      <c r="W86" s="35"/>
      <c r="X86" s="35"/>
      <c r="Y86" s="35"/>
      <c r="Z86" s="35"/>
      <c r="AA86" s="84">
        <f t="shared" si="3"/>
        <v>5</v>
      </c>
      <c r="AB86" s="144">
        <f t="shared" si="4"/>
        <v>7.142857143</v>
      </c>
      <c r="AC86" s="139">
        <f t="shared" si="5"/>
        <v>1</v>
      </c>
      <c r="AD86" s="28"/>
      <c r="AE86" s="28"/>
      <c r="AF86" s="28"/>
    </row>
    <row r="87">
      <c r="A87" s="37">
        <v>85.0</v>
      </c>
      <c r="B87" s="60" t="s">
        <v>380</v>
      </c>
      <c r="C87" s="149"/>
      <c r="D87" s="149"/>
      <c r="E87" s="149"/>
      <c r="F87" s="149"/>
      <c r="G87" s="149"/>
      <c r="H87" s="149"/>
      <c r="I87" s="149"/>
      <c r="J87" s="166"/>
      <c r="K87" s="166"/>
      <c r="L87" s="166"/>
      <c r="M87" s="38">
        <v>5.0</v>
      </c>
      <c r="N87" s="49"/>
      <c r="O87" s="49"/>
      <c r="P87" s="92">
        <v>5.0</v>
      </c>
      <c r="Q87" s="38">
        <v>5.0</v>
      </c>
      <c r="R87" s="38">
        <v>10.0</v>
      </c>
      <c r="S87" s="38"/>
      <c r="T87" s="35">
        <v>5.0</v>
      </c>
      <c r="U87" s="35">
        <v>5.0</v>
      </c>
      <c r="V87" s="35">
        <v>5.0</v>
      </c>
      <c r="W87" s="35"/>
      <c r="X87" s="35"/>
      <c r="Y87" s="35"/>
      <c r="Z87" s="35">
        <v>5.0</v>
      </c>
      <c r="AA87" s="84">
        <f t="shared" si="3"/>
        <v>45</v>
      </c>
      <c r="AB87" s="144">
        <f t="shared" si="4"/>
        <v>64.28571429</v>
      </c>
      <c r="AC87" s="139">
        <f t="shared" si="5"/>
        <v>8</v>
      </c>
      <c r="AD87" s="28"/>
      <c r="AE87" s="28"/>
      <c r="AF87" s="28"/>
    </row>
    <row r="88">
      <c r="A88" s="37">
        <v>86.0</v>
      </c>
      <c r="B88" s="60" t="s">
        <v>384</v>
      </c>
      <c r="C88" s="149"/>
      <c r="D88" s="149"/>
      <c r="E88" s="149"/>
      <c r="F88" s="149"/>
      <c r="G88" s="149"/>
      <c r="H88" s="149"/>
      <c r="I88" s="149"/>
      <c r="J88" s="166"/>
      <c r="K88" s="166"/>
      <c r="L88" s="166"/>
      <c r="M88" s="38">
        <v>5.0</v>
      </c>
      <c r="N88" s="49"/>
      <c r="O88" s="49"/>
      <c r="P88" s="92"/>
      <c r="Q88" s="38"/>
      <c r="R88" s="38"/>
      <c r="S88" s="38"/>
      <c r="T88" s="35"/>
      <c r="U88" s="35"/>
      <c r="V88" s="35"/>
      <c r="W88" s="35"/>
      <c r="X88" s="35"/>
      <c r="Y88" s="35"/>
      <c r="Z88" s="35">
        <v>5.0</v>
      </c>
      <c r="AA88" s="84">
        <f t="shared" si="3"/>
        <v>10</v>
      </c>
      <c r="AB88" s="144">
        <f t="shared" si="4"/>
        <v>14.28571429</v>
      </c>
      <c r="AC88" s="139">
        <f t="shared" si="5"/>
        <v>2</v>
      </c>
      <c r="AD88" s="28"/>
      <c r="AE88" s="28"/>
      <c r="AF88" s="28"/>
    </row>
    <row r="89">
      <c r="A89" s="37">
        <v>87.0</v>
      </c>
      <c r="B89" s="60" t="s">
        <v>388</v>
      </c>
      <c r="C89" s="149"/>
      <c r="D89" s="149"/>
      <c r="E89" s="149"/>
      <c r="F89" s="149"/>
      <c r="G89" s="149"/>
      <c r="H89" s="149"/>
      <c r="I89" s="149"/>
      <c r="J89" s="166"/>
      <c r="K89" s="166"/>
      <c r="L89" s="166"/>
      <c r="M89" s="38">
        <v>5.0</v>
      </c>
      <c r="N89" s="49"/>
      <c r="O89" s="49"/>
      <c r="P89" s="92"/>
      <c r="Q89" s="38"/>
      <c r="R89" s="38"/>
      <c r="S89" s="38"/>
      <c r="T89" s="35"/>
      <c r="U89" s="35"/>
      <c r="V89" s="35"/>
      <c r="W89" s="35"/>
      <c r="X89" s="35"/>
      <c r="Y89" s="35"/>
      <c r="Z89" s="35"/>
      <c r="AA89" s="84">
        <f t="shared" si="3"/>
        <v>5</v>
      </c>
      <c r="AB89" s="144">
        <f t="shared" si="4"/>
        <v>7.142857143</v>
      </c>
      <c r="AC89" s="139">
        <f t="shared" si="5"/>
        <v>1</v>
      </c>
      <c r="AD89" s="28"/>
      <c r="AE89" s="28"/>
      <c r="AF89" s="28"/>
    </row>
    <row r="90">
      <c r="A90" s="37">
        <v>88.0</v>
      </c>
      <c r="B90" s="60" t="s">
        <v>392</v>
      </c>
      <c r="C90" s="149"/>
      <c r="D90" s="149"/>
      <c r="E90" s="149"/>
      <c r="F90" s="149"/>
      <c r="G90" s="149"/>
      <c r="H90" s="149"/>
      <c r="I90" s="149"/>
      <c r="J90" s="166"/>
      <c r="K90" s="166"/>
      <c r="L90" s="166"/>
      <c r="M90" s="38">
        <v>5.0</v>
      </c>
      <c r="N90" s="49"/>
      <c r="O90" s="49"/>
      <c r="P90" s="92"/>
      <c r="Q90" s="38"/>
      <c r="R90" s="38"/>
      <c r="S90" s="38"/>
      <c r="T90" s="35"/>
      <c r="U90" s="35"/>
      <c r="V90" s="35"/>
      <c r="W90" s="35"/>
      <c r="X90" s="35"/>
      <c r="Y90" s="35"/>
      <c r="Z90" s="35"/>
      <c r="AA90" s="84">
        <f t="shared" si="3"/>
        <v>5</v>
      </c>
      <c r="AB90" s="144">
        <f t="shared" si="4"/>
        <v>7.142857143</v>
      </c>
      <c r="AC90" s="139">
        <f t="shared" si="5"/>
        <v>1</v>
      </c>
      <c r="AD90" s="28"/>
      <c r="AE90" s="28"/>
      <c r="AF90" s="28"/>
    </row>
    <row r="91">
      <c r="A91" s="37">
        <v>89.0</v>
      </c>
      <c r="B91" s="60" t="s">
        <v>395</v>
      </c>
      <c r="C91" s="149"/>
      <c r="D91" s="149"/>
      <c r="E91" s="149"/>
      <c r="F91" s="149"/>
      <c r="G91" s="149"/>
      <c r="H91" s="149"/>
      <c r="I91" s="149"/>
      <c r="J91" s="166"/>
      <c r="K91" s="166"/>
      <c r="L91" s="166"/>
      <c r="M91" s="49"/>
      <c r="N91" s="38">
        <v>5.0</v>
      </c>
      <c r="O91" s="38"/>
      <c r="P91" s="92"/>
      <c r="Q91" s="38"/>
      <c r="R91" s="38"/>
      <c r="S91" s="38"/>
      <c r="T91" s="35"/>
      <c r="U91" s="35"/>
      <c r="V91" s="35"/>
      <c r="W91" s="35"/>
      <c r="X91" s="35"/>
      <c r="Y91" s="35"/>
      <c r="Z91" s="35"/>
      <c r="AA91" s="84">
        <f t="shared" si="3"/>
        <v>5</v>
      </c>
      <c r="AB91" s="144">
        <f t="shared" si="4"/>
        <v>7.142857143</v>
      </c>
      <c r="AC91" s="139">
        <f t="shared" si="5"/>
        <v>1</v>
      </c>
      <c r="AD91" s="28"/>
      <c r="AE91" s="28"/>
      <c r="AF91" s="28"/>
    </row>
    <row r="92">
      <c r="A92" s="37">
        <v>90.0</v>
      </c>
      <c r="B92" s="60" t="s">
        <v>397</v>
      </c>
      <c r="C92" s="149"/>
      <c r="D92" s="149"/>
      <c r="E92" s="149"/>
      <c r="F92" s="149"/>
      <c r="G92" s="149"/>
      <c r="H92" s="149"/>
      <c r="I92" s="149"/>
      <c r="J92" s="166"/>
      <c r="K92" s="166"/>
      <c r="L92" s="166"/>
      <c r="M92" s="49"/>
      <c r="N92" s="49"/>
      <c r="O92" s="38">
        <v>5.0</v>
      </c>
      <c r="P92" s="92"/>
      <c r="Q92" s="38"/>
      <c r="R92" s="38"/>
      <c r="S92" s="38"/>
      <c r="T92" s="35"/>
      <c r="U92" s="35"/>
      <c r="V92" s="35"/>
      <c r="W92" s="35"/>
      <c r="X92" s="35"/>
      <c r="Y92" s="35"/>
      <c r="Z92" s="35"/>
      <c r="AA92" s="84">
        <f t="shared" si="3"/>
        <v>5</v>
      </c>
      <c r="AB92" s="144">
        <f t="shared" si="4"/>
        <v>7.142857143</v>
      </c>
      <c r="AC92" s="139">
        <f t="shared" si="5"/>
        <v>1</v>
      </c>
      <c r="AD92" s="28"/>
      <c r="AE92" s="28"/>
      <c r="AF92" s="28"/>
    </row>
    <row r="93">
      <c r="A93" s="37">
        <v>91.0</v>
      </c>
      <c r="B93" s="60" t="s">
        <v>401</v>
      </c>
      <c r="C93" s="149"/>
      <c r="D93" s="149"/>
      <c r="E93" s="149"/>
      <c r="F93" s="149"/>
      <c r="G93" s="149"/>
      <c r="H93" s="149"/>
      <c r="I93" s="149"/>
      <c r="J93" s="166"/>
      <c r="K93" s="166"/>
      <c r="L93" s="166"/>
      <c r="M93" s="49"/>
      <c r="N93" s="49"/>
      <c r="O93" s="38">
        <v>5.0</v>
      </c>
      <c r="P93" s="92">
        <v>5.0</v>
      </c>
      <c r="Q93" s="38">
        <v>5.0</v>
      </c>
      <c r="R93" s="38"/>
      <c r="S93" s="38">
        <v>5.0</v>
      </c>
      <c r="T93" s="35"/>
      <c r="U93" s="35">
        <v>5.0</v>
      </c>
      <c r="V93" s="35"/>
      <c r="W93" s="35">
        <v>5.0</v>
      </c>
      <c r="X93" s="35"/>
      <c r="Y93" s="35"/>
      <c r="Z93" s="35"/>
      <c r="AA93" s="84">
        <f t="shared" si="3"/>
        <v>30</v>
      </c>
      <c r="AB93" s="144">
        <f t="shared" si="4"/>
        <v>42.85714286</v>
      </c>
      <c r="AC93" s="139">
        <f t="shared" si="5"/>
        <v>6</v>
      </c>
      <c r="AD93" s="28"/>
      <c r="AE93" s="28"/>
      <c r="AF93" s="28"/>
    </row>
    <row r="94">
      <c r="A94" s="35">
        <v>92.0</v>
      </c>
      <c r="B94" s="103" t="s">
        <v>405</v>
      </c>
      <c r="C94" s="149"/>
      <c r="D94" s="149"/>
      <c r="E94" s="149"/>
      <c r="F94" s="149"/>
      <c r="G94" s="149"/>
      <c r="H94" s="149"/>
      <c r="I94" s="149"/>
      <c r="J94" s="166"/>
      <c r="K94" s="166"/>
      <c r="L94" s="166"/>
      <c r="M94" s="49"/>
      <c r="N94" s="49"/>
      <c r="O94" s="49"/>
      <c r="P94" s="92">
        <v>5.0</v>
      </c>
      <c r="Q94" s="49"/>
      <c r="R94" s="49"/>
      <c r="S94" s="49"/>
      <c r="T94" s="35"/>
      <c r="U94" s="35"/>
      <c r="V94" s="35"/>
      <c r="W94" s="35"/>
      <c r="X94" s="35"/>
      <c r="Y94" s="35"/>
      <c r="Z94" s="35"/>
      <c r="AA94" s="84">
        <f t="shared" si="3"/>
        <v>5</v>
      </c>
      <c r="AB94" s="144">
        <f t="shared" si="4"/>
        <v>7.142857143</v>
      </c>
      <c r="AC94" s="139">
        <f t="shared" si="5"/>
        <v>1</v>
      </c>
      <c r="AD94" s="28"/>
      <c r="AE94" s="28"/>
      <c r="AF94" s="28"/>
    </row>
    <row r="95">
      <c r="A95" s="35">
        <v>93.0</v>
      </c>
      <c r="B95" s="104" t="s">
        <v>409</v>
      </c>
      <c r="C95" s="149"/>
      <c r="D95" s="149"/>
      <c r="E95" s="149"/>
      <c r="F95" s="149"/>
      <c r="G95" s="149"/>
      <c r="H95" s="149"/>
      <c r="I95" s="149"/>
      <c r="J95" s="166"/>
      <c r="K95" s="166"/>
      <c r="L95" s="166"/>
      <c r="M95" s="49"/>
      <c r="N95" s="49"/>
      <c r="O95" s="49"/>
      <c r="P95" s="92">
        <v>5.0</v>
      </c>
      <c r="Q95" s="49"/>
      <c r="R95" s="49"/>
      <c r="S95" s="49"/>
      <c r="T95" s="35"/>
      <c r="U95" s="35"/>
      <c r="V95" s="35"/>
      <c r="W95" s="35"/>
      <c r="X95" s="35"/>
      <c r="Y95" s="35"/>
      <c r="Z95" s="35"/>
      <c r="AA95" s="84">
        <f t="shared" si="3"/>
        <v>5</v>
      </c>
      <c r="AB95" s="144">
        <f t="shared" si="4"/>
        <v>7.142857143</v>
      </c>
      <c r="AC95" s="139">
        <f t="shared" si="5"/>
        <v>1</v>
      </c>
      <c r="AD95" s="28"/>
      <c r="AE95" s="28"/>
      <c r="AF95" s="28"/>
    </row>
    <row r="96">
      <c r="A96" s="35">
        <v>94.0</v>
      </c>
      <c r="B96" s="105" t="s">
        <v>413</v>
      </c>
      <c r="C96" s="149"/>
      <c r="D96" s="149"/>
      <c r="E96" s="149"/>
      <c r="F96" s="149"/>
      <c r="G96" s="149"/>
      <c r="H96" s="149"/>
      <c r="I96" s="149"/>
      <c r="J96" s="166"/>
      <c r="K96" s="166"/>
      <c r="L96" s="166"/>
      <c r="M96" s="49"/>
      <c r="N96" s="49"/>
      <c r="O96" s="49"/>
      <c r="P96" s="92">
        <v>5.0</v>
      </c>
      <c r="Q96" s="49"/>
      <c r="R96" s="49"/>
      <c r="S96" s="49"/>
      <c r="T96" s="35"/>
      <c r="U96" s="35"/>
      <c r="V96" s="35"/>
      <c r="W96" s="35"/>
      <c r="X96" s="35"/>
      <c r="Y96" s="35"/>
      <c r="Z96" s="35"/>
      <c r="AA96" s="84">
        <f t="shared" si="3"/>
        <v>5</v>
      </c>
      <c r="AB96" s="144">
        <f t="shared" si="4"/>
        <v>7.142857143</v>
      </c>
      <c r="AC96" s="139">
        <f t="shared" si="5"/>
        <v>1</v>
      </c>
      <c r="AD96" s="28"/>
      <c r="AE96" s="28"/>
      <c r="AF96" s="28"/>
    </row>
    <row r="97">
      <c r="A97" s="35">
        <v>95.0</v>
      </c>
      <c r="B97" s="104" t="s">
        <v>417</v>
      </c>
      <c r="C97" s="149"/>
      <c r="D97" s="149"/>
      <c r="E97" s="149"/>
      <c r="F97" s="149"/>
      <c r="G97" s="149"/>
      <c r="H97" s="149"/>
      <c r="I97" s="149"/>
      <c r="J97" s="166"/>
      <c r="K97" s="166"/>
      <c r="L97" s="166"/>
      <c r="M97" s="49"/>
      <c r="N97" s="49"/>
      <c r="O97" s="49"/>
      <c r="P97" s="92">
        <v>5.0</v>
      </c>
      <c r="Q97" s="49"/>
      <c r="R97" s="49"/>
      <c r="S97" s="49"/>
      <c r="T97" s="35"/>
      <c r="U97" s="35"/>
      <c r="V97" s="35"/>
      <c r="W97" s="35"/>
      <c r="X97" s="35"/>
      <c r="Y97" s="35"/>
      <c r="Z97" s="35"/>
      <c r="AA97" s="84">
        <f t="shared" si="3"/>
        <v>5</v>
      </c>
      <c r="AB97" s="144">
        <f t="shared" si="4"/>
        <v>7.142857143</v>
      </c>
      <c r="AC97" s="139">
        <f t="shared" si="5"/>
        <v>1</v>
      </c>
      <c r="AD97" s="28"/>
      <c r="AE97" s="28"/>
      <c r="AF97" s="28"/>
    </row>
    <row r="98">
      <c r="A98" s="35">
        <v>96.0</v>
      </c>
      <c r="B98" s="105" t="s">
        <v>421</v>
      </c>
      <c r="C98" s="149"/>
      <c r="D98" s="149"/>
      <c r="E98" s="149"/>
      <c r="F98" s="149"/>
      <c r="G98" s="149"/>
      <c r="H98" s="149"/>
      <c r="I98" s="149"/>
      <c r="J98" s="166"/>
      <c r="K98" s="166"/>
      <c r="L98" s="166"/>
      <c r="M98" s="49"/>
      <c r="N98" s="49"/>
      <c r="O98" s="49"/>
      <c r="P98" s="92">
        <v>5.0</v>
      </c>
      <c r="Q98" s="49"/>
      <c r="R98" s="49"/>
      <c r="S98" s="49"/>
      <c r="T98" s="35"/>
      <c r="U98" s="35"/>
      <c r="V98" s="35"/>
      <c r="W98" s="35"/>
      <c r="X98" s="35"/>
      <c r="Y98" s="35"/>
      <c r="Z98" s="35"/>
      <c r="AA98" s="84">
        <f t="shared" si="3"/>
        <v>5</v>
      </c>
      <c r="AB98" s="144">
        <f t="shared" si="4"/>
        <v>7.142857143</v>
      </c>
      <c r="AC98" s="139">
        <f t="shared" si="5"/>
        <v>1</v>
      </c>
      <c r="AD98" s="28"/>
      <c r="AE98" s="28"/>
      <c r="AF98" s="28"/>
    </row>
    <row r="99">
      <c r="A99" s="35">
        <v>97.0</v>
      </c>
      <c r="B99" s="104" t="s">
        <v>425</v>
      </c>
      <c r="C99" s="149"/>
      <c r="D99" s="149"/>
      <c r="E99" s="149"/>
      <c r="F99" s="149"/>
      <c r="G99" s="149"/>
      <c r="H99" s="149"/>
      <c r="I99" s="149"/>
      <c r="J99" s="166"/>
      <c r="K99" s="166"/>
      <c r="L99" s="166"/>
      <c r="M99" s="49"/>
      <c r="N99" s="49"/>
      <c r="O99" s="49"/>
      <c r="P99" s="92">
        <v>5.0</v>
      </c>
      <c r="Q99" s="49"/>
      <c r="R99" s="49"/>
      <c r="S99" s="49"/>
      <c r="T99" s="35"/>
      <c r="U99" s="35"/>
      <c r="V99" s="35"/>
      <c r="W99" s="35"/>
      <c r="X99" s="35"/>
      <c r="Y99" s="35"/>
      <c r="Z99" s="35"/>
      <c r="AA99" s="84">
        <f t="shared" si="3"/>
        <v>5</v>
      </c>
      <c r="AB99" s="144">
        <f t="shared" si="4"/>
        <v>7.142857143</v>
      </c>
      <c r="AC99" s="139">
        <f t="shared" si="5"/>
        <v>1</v>
      </c>
      <c r="AD99" s="28"/>
      <c r="AE99" s="28"/>
      <c r="AF99" s="28"/>
    </row>
    <row r="100">
      <c r="A100" s="35">
        <v>98.0</v>
      </c>
      <c r="B100" s="106" t="s">
        <v>429</v>
      </c>
      <c r="C100" s="149"/>
      <c r="D100" s="149"/>
      <c r="E100" s="149"/>
      <c r="F100" s="149"/>
      <c r="G100" s="149"/>
      <c r="H100" s="149"/>
      <c r="I100" s="149"/>
      <c r="J100" s="166"/>
      <c r="K100" s="166"/>
      <c r="L100" s="166"/>
      <c r="M100" s="49"/>
      <c r="N100" s="49"/>
      <c r="O100" s="49"/>
      <c r="P100" s="92">
        <v>5.0</v>
      </c>
      <c r="Q100" s="49"/>
      <c r="R100" s="49"/>
      <c r="S100" s="49"/>
      <c r="T100" s="35"/>
      <c r="U100" s="35"/>
      <c r="V100" s="35"/>
      <c r="W100" s="35"/>
      <c r="X100" s="35"/>
      <c r="Y100" s="35"/>
      <c r="Z100" s="35"/>
      <c r="AA100" s="84">
        <f t="shared" si="3"/>
        <v>5</v>
      </c>
      <c r="AB100" s="144">
        <f t="shared" si="4"/>
        <v>7.142857143</v>
      </c>
      <c r="AC100" s="139">
        <f t="shared" si="5"/>
        <v>1</v>
      </c>
      <c r="AD100" s="28"/>
      <c r="AE100" s="28"/>
      <c r="AF100" s="28"/>
    </row>
    <row r="101">
      <c r="A101" s="35">
        <v>99.0</v>
      </c>
      <c r="B101" s="105" t="s">
        <v>433</v>
      </c>
      <c r="C101" s="149"/>
      <c r="D101" s="149"/>
      <c r="E101" s="149"/>
      <c r="F101" s="149"/>
      <c r="G101" s="149"/>
      <c r="H101" s="149"/>
      <c r="I101" s="149"/>
      <c r="J101" s="166"/>
      <c r="K101" s="166"/>
      <c r="L101" s="166"/>
      <c r="M101" s="49"/>
      <c r="N101" s="49"/>
      <c r="O101" s="49"/>
      <c r="P101" s="92">
        <v>5.0</v>
      </c>
      <c r="Q101" s="38">
        <v>5.0</v>
      </c>
      <c r="R101" s="49"/>
      <c r="S101" s="38">
        <v>5.0</v>
      </c>
      <c r="T101" s="35"/>
      <c r="U101" s="35">
        <v>5.0</v>
      </c>
      <c r="V101" s="35"/>
      <c r="W101" s="35"/>
      <c r="X101" s="35">
        <v>5.0</v>
      </c>
      <c r="Y101" s="35"/>
      <c r="Z101" s="35"/>
      <c r="AA101" s="84">
        <f t="shared" si="3"/>
        <v>25</v>
      </c>
      <c r="AB101" s="144">
        <f t="shared" si="4"/>
        <v>35.71428571</v>
      </c>
      <c r="AC101" s="139">
        <f t="shared" si="5"/>
        <v>5</v>
      </c>
      <c r="AD101" s="28"/>
      <c r="AE101" s="28"/>
      <c r="AF101" s="28"/>
    </row>
    <row r="102">
      <c r="A102" s="35">
        <v>100.0</v>
      </c>
      <c r="B102" s="104" t="s">
        <v>437</v>
      </c>
      <c r="C102" s="149"/>
      <c r="D102" s="149"/>
      <c r="E102" s="149"/>
      <c r="F102" s="149"/>
      <c r="G102" s="149"/>
      <c r="H102" s="149"/>
      <c r="I102" s="149"/>
      <c r="J102" s="166"/>
      <c r="K102" s="166"/>
      <c r="L102" s="166"/>
      <c r="M102" s="49"/>
      <c r="N102" s="49"/>
      <c r="O102" s="49"/>
      <c r="P102" s="92">
        <v>5.0</v>
      </c>
      <c r="Q102" s="49"/>
      <c r="R102" s="49"/>
      <c r="S102" s="49"/>
      <c r="T102" s="35"/>
      <c r="U102" s="35"/>
      <c r="V102" s="35"/>
      <c r="W102" s="35"/>
      <c r="X102" s="35"/>
      <c r="Y102" s="35"/>
      <c r="Z102" s="35"/>
      <c r="AA102" s="84">
        <f t="shared" si="3"/>
        <v>5</v>
      </c>
      <c r="AB102" s="144">
        <f t="shared" si="4"/>
        <v>7.142857143</v>
      </c>
      <c r="AC102" s="139">
        <f t="shared" si="5"/>
        <v>1</v>
      </c>
      <c r="AD102" s="28"/>
      <c r="AE102" s="28"/>
      <c r="AF102" s="28"/>
    </row>
    <row r="103">
      <c r="A103" s="35">
        <v>101.0</v>
      </c>
      <c r="B103" s="105" t="s">
        <v>133</v>
      </c>
      <c r="C103" s="149"/>
      <c r="D103" s="149"/>
      <c r="E103" s="149"/>
      <c r="F103" s="149"/>
      <c r="G103" s="149"/>
      <c r="H103" s="149"/>
      <c r="I103" s="149"/>
      <c r="J103" s="166"/>
      <c r="K103" s="166"/>
      <c r="L103" s="166"/>
      <c r="M103" s="49"/>
      <c r="N103" s="49"/>
      <c r="O103" s="49"/>
      <c r="P103" s="92">
        <v>5.0</v>
      </c>
      <c r="Q103" s="49"/>
      <c r="R103" s="49"/>
      <c r="S103" s="49"/>
      <c r="T103" s="35"/>
      <c r="U103" s="35"/>
      <c r="V103" s="35"/>
      <c r="W103" s="35"/>
      <c r="X103" s="35"/>
      <c r="Y103" s="35"/>
      <c r="Z103" s="35"/>
      <c r="AA103" s="84">
        <f t="shared" si="3"/>
        <v>5</v>
      </c>
      <c r="AB103" s="144">
        <f t="shared" si="4"/>
        <v>7.142857143</v>
      </c>
      <c r="AC103" s="139">
        <f t="shared" si="5"/>
        <v>1</v>
      </c>
      <c r="AD103" s="28"/>
      <c r="AE103" s="28"/>
      <c r="AF103" s="28"/>
    </row>
    <row r="104">
      <c r="A104" s="35">
        <v>102.0</v>
      </c>
      <c r="B104" s="104" t="s">
        <v>442</v>
      </c>
      <c r="C104" s="149"/>
      <c r="D104" s="149"/>
      <c r="E104" s="149"/>
      <c r="F104" s="149"/>
      <c r="G104" s="149"/>
      <c r="H104" s="149"/>
      <c r="I104" s="149"/>
      <c r="J104" s="166"/>
      <c r="K104" s="166"/>
      <c r="L104" s="166"/>
      <c r="M104" s="49"/>
      <c r="N104" s="49"/>
      <c r="O104" s="49"/>
      <c r="P104" s="92">
        <v>5.0</v>
      </c>
      <c r="Q104" s="49"/>
      <c r="R104" s="49"/>
      <c r="S104" s="49"/>
      <c r="T104" s="35"/>
      <c r="U104" s="35"/>
      <c r="V104" s="35"/>
      <c r="W104" s="35"/>
      <c r="X104" s="35"/>
      <c r="Y104" s="35"/>
      <c r="Z104" s="35"/>
      <c r="AA104" s="84">
        <f t="shared" si="3"/>
        <v>5</v>
      </c>
      <c r="AB104" s="144">
        <f t="shared" si="4"/>
        <v>7.142857143</v>
      </c>
      <c r="AC104" s="139">
        <f t="shared" si="5"/>
        <v>1</v>
      </c>
      <c r="AD104" s="28"/>
      <c r="AE104" s="28"/>
      <c r="AF104" s="28"/>
    </row>
    <row r="105">
      <c r="A105" s="35">
        <v>103.0</v>
      </c>
      <c r="B105" s="105" t="s">
        <v>575</v>
      </c>
      <c r="C105" s="149"/>
      <c r="D105" s="149"/>
      <c r="E105" s="149"/>
      <c r="F105" s="149"/>
      <c r="G105" s="149"/>
      <c r="H105" s="149"/>
      <c r="I105" s="149"/>
      <c r="J105" s="166"/>
      <c r="K105" s="166"/>
      <c r="L105" s="166"/>
      <c r="M105" s="49"/>
      <c r="N105" s="49"/>
      <c r="O105" s="49"/>
      <c r="P105" s="92">
        <v>5.0</v>
      </c>
      <c r="Q105" s="49"/>
      <c r="R105" s="49"/>
      <c r="S105" s="49"/>
      <c r="T105" s="35"/>
      <c r="U105" s="35"/>
      <c r="V105" s="35"/>
      <c r="W105" s="35"/>
      <c r="X105" s="35"/>
      <c r="Y105" s="35"/>
      <c r="Z105" s="35"/>
      <c r="AA105" s="84">
        <f t="shared" si="3"/>
        <v>5</v>
      </c>
      <c r="AB105" s="144">
        <f t="shared" si="4"/>
        <v>7.142857143</v>
      </c>
      <c r="AC105" s="139">
        <f t="shared" si="5"/>
        <v>1</v>
      </c>
      <c r="AD105" s="28"/>
      <c r="AE105" s="28"/>
      <c r="AF105" s="28"/>
    </row>
    <row r="106">
      <c r="A106" s="35">
        <v>104.0</v>
      </c>
      <c r="B106" s="104" t="s">
        <v>450</v>
      </c>
      <c r="C106" s="167"/>
      <c r="D106" s="167"/>
      <c r="E106" s="167"/>
      <c r="F106" s="167"/>
      <c r="G106" s="167"/>
      <c r="H106" s="167"/>
      <c r="I106" s="167"/>
      <c r="J106" s="167"/>
      <c r="K106" s="167"/>
      <c r="L106" s="167"/>
      <c r="M106" s="108"/>
      <c r="N106" s="108"/>
      <c r="O106" s="108"/>
      <c r="P106" s="109">
        <v>5.0</v>
      </c>
      <c r="Q106" s="108"/>
      <c r="R106" s="110"/>
      <c r="S106" s="108"/>
      <c r="T106" s="35"/>
      <c r="U106" s="35"/>
      <c r="V106" s="35"/>
      <c r="W106" s="35"/>
      <c r="X106" s="35"/>
      <c r="Y106" s="35"/>
      <c r="Z106" s="35"/>
      <c r="AA106" s="84">
        <f t="shared" si="3"/>
        <v>5</v>
      </c>
      <c r="AB106" s="144">
        <f t="shared" si="4"/>
        <v>7.142857143</v>
      </c>
      <c r="AC106" s="139">
        <f t="shared" si="5"/>
        <v>1</v>
      </c>
    </row>
    <row r="107">
      <c r="A107" s="35">
        <v>105.0</v>
      </c>
      <c r="B107" s="105" t="s">
        <v>453</v>
      </c>
      <c r="C107" s="167"/>
      <c r="D107" s="167"/>
      <c r="E107" s="167"/>
      <c r="F107" s="167"/>
      <c r="G107" s="167"/>
      <c r="H107" s="167"/>
      <c r="I107" s="167"/>
      <c r="J107" s="167"/>
      <c r="K107" s="167"/>
      <c r="L107" s="167"/>
      <c r="M107" s="108"/>
      <c r="N107" s="108"/>
      <c r="O107" s="108"/>
      <c r="P107" s="109">
        <v>5.0</v>
      </c>
      <c r="Q107" s="108"/>
      <c r="R107" s="110"/>
      <c r="S107" s="108"/>
      <c r="T107" s="35"/>
      <c r="U107" s="35"/>
      <c r="V107" s="35"/>
      <c r="W107" s="35"/>
      <c r="X107" s="35"/>
      <c r="Y107" s="35"/>
      <c r="Z107" s="35"/>
      <c r="AA107" s="84">
        <f t="shared" si="3"/>
        <v>5</v>
      </c>
      <c r="AB107" s="144">
        <f t="shared" si="4"/>
        <v>7.142857143</v>
      </c>
      <c r="AC107" s="139">
        <f t="shared" si="5"/>
        <v>1</v>
      </c>
    </row>
    <row r="108">
      <c r="A108" s="35">
        <v>106.0</v>
      </c>
      <c r="B108" s="104" t="s">
        <v>457</v>
      </c>
      <c r="C108" s="167"/>
      <c r="D108" s="167"/>
      <c r="E108" s="167"/>
      <c r="F108" s="167"/>
      <c r="G108" s="167"/>
      <c r="H108" s="167"/>
      <c r="I108" s="167"/>
      <c r="J108" s="167"/>
      <c r="K108" s="167"/>
      <c r="L108" s="167"/>
      <c r="M108" s="108"/>
      <c r="N108" s="108"/>
      <c r="O108" s="108"/>
      <c r="P108" s="109">
        <v>5.0</v>
      </c>
      <c r="Q108" s="108"/>
      <c r="R108" s="110"/>
      <c r="S108" s="108"/>
      <c r="T108" s="35"/>
      <c r="U108" s="35"/>
      <c r="V108" s="35"/>
      <c r="W108" s="35"/>
      <c r="X108" s="35"/>
      <c r="Y108" s="35"/>
      <c r="Z108" s="35"/>
      <c r="AA108" s="84">
        <f t="shared" si="3"/>
        <v>5</v>
      </c>
      <c r="AB108" s="144">
        <f t="shared" si="4"/>
        <v>7.142857143</v>
      </c>
      <c r="AC108" s="139">
        <f t="shared" si="5"/>
        <v>1</v>
      </c>
    </row>
    <row r="109">
      <c r="A109" s="35">
        <v>107.0</v>
      </c>
      <c r="B109" s="105" t="s">
        <v>458</v>
      </c>
      <c r="C109" s="167"/>
      <c r="D109" s="167"/>
      <c r="E109" s="167"/>
      <c r="F109" s="167"/>
      <c r="G109" s="167"/>
      <c r="H109" s="167"/>
      <c r="I109" s="167"/>
      <c r="J109" s="167"/>
      <c r="K109" s="167"/>
      <c r="L109" s="167"/>
      <c r="M109" s="108"/>
      <c r="N109" s="108"/>
      <c r="O109" s="108"/>
      <c r="P109" s="109">
        <v>5.0</v>
      </c>
      <c r="Q109" s="108"/>
      <c r="R109" s="110"/>
      <c r="S109" s="108"/>
      <c r="T109" s="35"/>
      <c r="U109" s="35"/>
      <c r="V109" s="35"/>
      <c r="W109" s="35"/>
      <c r="X109" s="35"/>
      <c r="Y109" s="35"/>
      <c r="Z109" s="35"/>
      <c r="AA109" s="84">
        <f t="shared" si="3"/>
        <v>5</v>
      </c>
      <c r="AB109" s="144">
        <f t="shared" si="4"/>
        <v>7.142857143</v>
      </c>
      <c r="AC109" s="139">
        <f t="shared" si="5"/>
        <v>1</v>
      </c>
    </row>
    <row r="110">
      <c r="A110" s="35">
        <v>108.0</v>
      </c>
      <c r="B110" s="104" t="s">
        <v>459</v>
      </c>
      <c r="C110" s="167"/>
      <c r="D110" s="167"/>
      <c r="E110" s="167"/>
      <c r="F110" s="167"/>
      <c r="G110" s="167"/>
      <c r="H110" s="167"/>
      <c r="I110" s="167"/>
      <c r="J110" s="167"/>
      <c r="K110" s="167"/>
      <c r="L110" s="167"/>
      <c r="M110" s="108"/>
      <c r="N110" s="108"/>
      <c r="O110" s="108"/>
      <c r="P110" s="111"/>
      <c r="Q110" s="112">
        <v>5.0</v>
      </c>
      <c r="R110" s="110"/>
      <c r="S110" s="112">
        <v>5.0</v>
      </c>
      <c r="T110" s="35">
        <v>5.0</v>
      </c>
      <c r="U110" s="35"/>
      <c r="V110" s="35"/>
      <c r="W110" s="35"/>
      <c r="X110" s="35">
        <v>5.0</v>
      </c>
      <c r="Y110" s="35"/>
      <c r="Z110" s="35"/>
      <c r="AA110" s="84">
        <f t="shared" si="3"/>
        <v>20</v>
      </c>
      <c r="AB110" s="144">
        <f t="shared" si="4"/>
        <v>28.57142857</v>
      </c>
      <c r="AC110" s="139">
        <f t="shared" si="5"/>
        <v>4</v>
      </c>
    </row>
    <row r="111">
      <c r="A111" s="35">
        <v>109.0</v>
      </c>
      <c r="B111" s="106" t="s">
        <v>460</v>
      </c>
      <c r="C111" s="167"/>
      <c r="D111" s="167"/>
      <c r="E111" s="167"/>
      <c r="F111" s="167"/>
      <c r="G111" s="167"/>
      <c r="H111" s="167"/>
      <c r="I111" s="167"/>
      <c r="J111" s="167"/>
      <c r="K111" s="167"/>
      <c r="L111" s="167"/>
      <c r="M111" s="108"/>
      <c r="N111" s="108"/>
      <c r="O111" s="108"/>
      <c r="P111" s="111"/>
      <c r="Q111" s="108"/>
      <c r="R111" s="113">
        <v>10.0</v>
      </c>
      <c r="S111" s="108"/>
      <c r="T111" s="35"/>
      <c r="U111" s="35"/>
      <c r="V111" s="35"/>
      <c r="W111" s="35"/>
      <c r="X111" s="35"/>
      <c r="Y111" s="35"/>
      <c r="Z111" s="35"/>
      <c r="AA111" s="84">
        <f t="shared" si="3"/>
        <v>10</v>
      </c>
      <c r="AB111" s="144">
        <f t="shared" si="4"/>
        <v>14.28571429</v>
      </c>
      <c r="AC111" s="139">
        <f t="shared" si="5"/>
        <v>1</v>
      </c>
    </row>
    <row r="112">
      <c r="A112" s="35">
        <v>110.0</v>
      </c>
      <c r="B112" s="105" t="s">
        <v>464</v>
      </c>
      <c r="C112" s="167"/>
      <c r="D112" s="167"/>
      <c r="E112" s="167"/>
      <c r="F112" s="167"/>
      <c r="G112" s="167"/>
      <c r="H112" s="167"/>
      <c r="I112" s="167"/>
      <c r="J112" s="167"/>
      <c r="K112" s="167"/>
      <c r="L112" s="167"/>
      <c r="M112" s="108"/>
      <c r="N112" s="108"/>
      <c r="O112" s="108"/>
      <c r="P112" s="111"/>
      <c r="Q112" s="108"/>
      <c r="R112" s="110"/>
      <c r="S112" s="112">
        <v>5.0</v>
      </c>
      <c r="T112" s="35"/>
      <c r="U112" s="35"/>
      <c r="V112" s="35"/>
      <c r="W112" s="35"/>
      <c r="X112" s="35"/>
      <c r="Y112" s="35"/>
      <c r="Z112" s="35"/>
      <c r="AA112" s="84">
        <f t="shared" si="3"/>
        <v>5</v>
      </c>
      <c r="AB112" s="144">
        <f t="shared" si="4"/>
        <v>7.142857143</v>
      </c>
      <c r="AC112" s="139">
        <f t="shared" si="5"/>
        <v>1</v>
      </c>
    </row>
    <row r="113">
      <c r="A113" s="35">
        <v>111.0</v>
      </c>
      <c r="B113" s="104" t="s">
        <v>468</v>
      </c>
      <c r="C113" s="167"/>
      <c r="D113" s="167"/>
      <c r="E113" s="167"/>
      <c r="F113" s="167"/>
      <c r="G113" s="167"/>
      <c r="H113" s="167"/>
      <c r="I113" s="167"/>
      <c r="J113" s="167"/>
      <c r="K113" s="167"/>
      <c r="L113" s="167"/>
      <c r="M113" s="108"/>
      <c r="N113" s="108"/>
      <c r="O113" s="108"/>
      <c r="P113" s="111"/>
      <c r="Q113" s="108"/>
      <c r="R113" s="110"/>
      <c r="S113" s="112">
        <v>5.0</v>
      </c>
      <c r="T113" s="35"/>
      <c r="U113" s="35"/>
      <c r="V113" s="35"/>
      <c r="W113" s="35">
        <v>5.0</v>
      </c>
      <c r="X113" s="35"/>
      <c r="Y113" s="35"/>
      <c r="Z113" s="35"/>
      <c r="AA113" s="84">
        <f t="shared" si="3"/>
        <v>10</v>
      </c>
      <c r="AB113" s="144">
        <f t="shared" si="4"/>
        <v>14.28571429</v>
      </c>
      <c r="AC113" s="139">
        <f t="shared" si="5"/>
        <v>2</v>
      </c>
    </row>
    <row r="114">
      <c r="A114" s="35">
        <v>112.0</v>
      </c>
      <c r="B114" s="105" t="s">
        <v>472</v>
      </c>
      <c r="C114" s="167"/>
      <c r="D114" s="167"/>
      <c r="E114" s="167"/>
      <c r="F114" s="167"/>
      <c r="G114" s="167"/>
      <c r="H114" s="167"/>
      <c r="I114" s="167"/>
      <c r="J114" s="167"/>
      <c r="K114" s="167"/>
      <c r="L114" s="167"/>
      <c r="M114" s="108"/>
      <c r="N114" s="108"/>
      <c r="O114" s="108"/>
      <c r="P114" s="111"/>
      <c r="Q114" s="108"/>
      <c r="R114" s="110"/>
      <c r="S114" s="112">
        <v>5.0</v>
      </c>
      <c r="T114" s="35"/>
      <c r="U114" s="35"/>
      <c r="V114" s="35"/>
      <c r="W114" s="35"/>
      <c r="X114" s="35"/>
      <c r="Y114" s="35"/>
      <c r="Z114" s="35"/>
      <c r="AA114" s="84">
        <f t="shared" si="3"/>
        <v>5</v>
      </c>
      <c r="AB114" s="144">
        <f t="shared" si="4"/>
        <v>7.142857143</v>
      </c>
      <c r="AC114" s="139">
        <f t="shared" si="5"/>
        <v>1</v>
      </c>
    </row>
    <row r="115">
      <c r="A115" s="35">
        <v>113.0</v>
      </c>
      <c r="B115" s="106" t="s">
        <v>476</v>
      </c>
      <c r="C115" s="167"/>
      <c r="D115" s="167"/>
      <c r="E115" s="167"/>
      <c r="F115" s="167"/>
      <c r="G115" s="167"/>
      <c r="H115" s="167"/>
      <c r="I115" s="167"/>
      <c r="J115" s="167"/>
      <c r="K115" s="167"/>
      <c r="L115" s="167"/>
      <c r="M115" s="108"/>
      <c r="N115" s="108"/>
      <c r="O115" s="108"/>
      <c r="P115" s="111"/>
      <c r="Q115" s="108"/>
      <c r="R115" s="110"/>
      <c r="S115" s="108"/>
      <c r="T115" s="112">
        <v>5.0</v>
      </c>
      <c r="U115" s="108"/>
      <c r="V115" s="112"/>
      <c r="W115" s="35"/>
      <c r="X115" s="35"/>
      <c r="Y115" s="35"/>
      <c r="Z115" s="35"/>
      <c r="AA115" s="84">
        <f t="shared" si="3"/>
        <v>5</v>
      </c>
      <c r="AB115" s="144">
        <f t="shared" si="4"/>
        <v>7.142857143</v>
      </c>
      <c r="AC115" s="139">
        <f t="shared" si="5"/>
        <v>1</v>
      </c>
    </row>
    <row r="116">
      <c r="A116" s="35">
        <v>114.0</v>
      </c>
      <c r="B116" s="106" t="s">
        <v>480</v>
      </c>
      <c r="C116" s="167"/>
      <c r="D116" s="167"/>
      <c r="E116" s="167"/>
      <c r="F116" s="167"/>
      <c r="G116" s="167"/>
      <c r="H116" s="167"/>
      <c r="I116" s="167"/>
      <c r="J116" s="167"/>
      <c r="K116" s="167"/>
      <c r="L116" s="167"/>
      <c r="M116" s="108"/>
      <c r="N116" s="108"/>
      <c r="O116" s="108"/>
      <c r="P116" s="111"/>
      <c r="Q116" s="108"/>
      <c r="R116" s="110"/>
      <c r="S116" s="108"/>
      <c r="T116" s="112">
        <v>5.0</v>
      </c>
      <c r="U116" s="108"/>
      <c r="V116" s="112">
        <v>5.0</v>
      </c>
      <c r="W116" s="35"/>
      <c r="X116" s="35"/>
      <c r="Y116" s="35"/>
      <c r="Z116" s="35"/>
      <c r="AA116" s="84">
        <f t="shared" si="3"/>
        <v>10</v>
      </c>
      <c r="AB116" s="144">
        <f t="shared" si="4"/>
        <v>14.28571429</v>
      </c>
      <c r="AC116" s="139">
        <f t="shared" si="5"/>
        <v>2</v>
      </c>
    </row>
    <row r="117">
      <c r="A117" s="35">
        <v>115.0</v>
      </c>
      <c r="B117" s="106" t="s">
        <v>484</v>
      </c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08"/>
      <c r="N117" s="108"/>
      <c r="O117" s="108"/>
      <c r="P117" s="111"/>
      <c r="Q117" s="108"/>
      <c r="R117" s="110"/>
      <c r="S117" s="108"/>
      <c r="T117" s="112">
        <v>5.0</v>
      </c>
      <c r="U117" s="108"/>
      <c r="V117" s="108"/>
      <c r="W117" s="35"/>
      <c r="X117" s="35"/>
      <c r="Y117" s="35"/>
      <c r="Z117" s="35"/>
      <c r="AA117" s="84">
        <f t="shared" si="3"/>
        <v>5</v>
      </c>
      <c r="AB117" s="144">
        <f t="shared" si="4"/>
        <v>7.142857143</v>
      </c>
      <c r="AC117" s="139">
        <f t="shared" si="5"/>
        <v>1</v>
      </c>
    </row>
    <row r="118">
      <c r="A118" s="35">
        <v>116.0</v>
      </c>
      <c r="B118" s="106" t="s">
        <v>488</v>
      </c>
      <c r="C118" s="167"/>
      <c r="D118" s="167"/>
      <c r="E118" s="167"/>
      <c r="F118" s="167"/>
      <c r="G118" s="167"/>
      <c r="H118" s="167"/>
      <c r="I118" s="167"/>
      <c r="J118" s="167"/>
      <c r="K118" s="167"/>
      <c r="L118" s="167"/>
      <c r="M118" s="108"/>
      <c r="N118" s="108"/>
      <c r="O118" s="108"/>
      <c r="P118" s="111"/>
      <c r="Q118" s="108"/>
      <c r="R118" s="110"/>
      <c r="S118" s="108"/>
      <c r="T118" s="112">
        <v>5.0</v>
      </c>
      <c r="U118" s="108"/>
      <c r="V118" s="108"/>
      <c r="W118" s="35"/>
      <c r="X118" s="35"/>
      <c r="Y118" s="35"/>
      <c r="Z118" s="35"/>
      <c r="AA118" s="84">
        <f t="shared" si="3"/>
        <v>5</v>
      </c>
      <c r="AB118" s="144">
        <f t="shared" si="4"/>
        <v>7.142857143</v>
      </c>
      <c r="AC118" s="139">
        <f t="shared" si="5"/>
        <v>1</v>
      </c>
    </row>
    <row r="119">
      <c r="A119" s="35">
        <v>117.0</v>
      </c>
      <c r="B119" s="106" t="s">
        <v>492</v>
      </c>
      <c r="C119" s="167"/>
      <c r="D119" s="167"/>
      <c r="E119" s="167"/>
      <c r="F119" s="167"/>
      <c r="G119" s="167"/>
      <c r="H119" s="167"/>
      <c r="I119" s="167"/>
      <c r="J119" s="167"/>
      <c r="K119" s="167"/>
      <c r="L119" s="167"/>
      <c r="M119" s="108"/>
      <c r="N119" s="108"/>
      <c r="O119" s="108"/>
      <c r="P119" s="111"/>
      <c r="Q119" s="108"/>
      <c r="R119" s="110"/>
      <c r="S119" s="108"/>
      <c r="T119" s="108"/>
      <c r="U119" s="112">
        <v>5.0</v>
      </c>
      <c r="V119" s="108"/>
      <c r="W119" s="35"/>
      <c r="X119" s="35"/>
      <c r="Y119" s="35"/>
      <c r="Z119" s="35"/>
      <c r="AA119" s="84">
        <f t="shared" si="3"/>
        <v>5</v>
      </c>
      <c r="AB119" s="144">
        <f t="shared" si="4"/>
        <v>7.142857143</v>
      </c>
      <c r="AC119" s="139">
        <f t="shared" si="5"/>
        <v>1</v>
      </c>
    </row>
    <row r="120">
      <c r="A120" s="35">
        <v>118.0</v>
      </c>
      <c r="B120" s="106" t="s">
        <v>496</v>
      </c>
      <c r="C120" s="167"/>
      <c r="D120" s="167"/>
      <c r="E120" s="167"/>
      <c r="F120" s="167"/>
      <c r="G120" s="167"/>
      <c r="H120" s="167"/>
      <c r="I120" s="167"/>
      <c r="J120" s="167"/>
      <c r="K120" s="167"/>
      <c r="L120" s="167"/>
      <c r="M120" s="108"/>
      <c r="N120" s="108"/>
      <c r="O120" s="108"/>
      <c r="P120" s="111"/>
      <c r="Q120" s="108"/>
      <c r="R120" s="110"/>
      <c r="S120" s="108"/>
      <c r="T120" s="108"/>
      <c r="U120" s="112">
        <v>5.0</v>
      </c>
      <c r="V120" s="108"/>
      <c r="W120" s="35"/>
      <c r="X120" s="35"/>
      <c r="Y120" s="35"/>
      <c r="Z120" s="35"/>
      <c r="AA120" s="84">
        <f t="shared" si="3"/>
        <v>5</v>
      </c>
      <c r="AB120" s="144">
        <f t="shared" si="4"/>
        <v>7.142857143</v>
      </c>
      <c r="AC120" s="139">
        <f t="shared" si="5"/>
        <v>1</v>
      </c>
    </row>
    <row r="121">
      <c r="A121" s="35">
        <v>119.0</v>
      </c>
      <c r="B121" s="106" t="s">
        <v>500</v>
      </c>
      <c r="C121" s="167"/>
      <c r="D121" s="167"/>
      <c r="E121" s="167"/>
      <c r="F121" s="167"/>
      <c r="G121" s="167"/>
      <c r="H121" s="167"/>
      <c r="I121" s="167"/>
      <c r="J121" s="167"/>
      <c r="K121" s="167"/>
      <c r="L121" s="167"/>
      <c r="M121" s="108"/>
      <c r="N121" s="108"/>
      <c r="O121" s="108"/>
      <c r="P121" s="111"/>
      <c r="Q121" s="108"/>
      <c r="R121" s="110"/>
      <c r="S121" s="108"/>
      <c r="T121" s="108"/>
      <c r="U121" s="112">
        <v>5.0</v>
      </c>
      <c r="V121" s="108"/>
      <c r="W121" s="35"/>
      <c r="X121" s="35"/>
      <c r="Y121" s="35"/>
      <c r="Z121" s="35"/>
      <c r="AA121" s="84">
        <f t="shared" si="3"/>
        <v>5</v>
      </c>
      <c r="AB121" s="144">
        <f t="shared" si="4"/>
        <v>7.142857143</v>
      </c>
      <c r="AC121" s="139">
        <f t="shared" si="5"/>
        <v>1</v>
      </c>
    </row>
    <row r="122">
      <c r="A122" s="35">
        <v>120.0</v>
      </c>
      <c r="B122" s="106" t="s">
        <v>505</v>
      </c>
      <c r="C122" s="167"/>
      <c r="D122" s="167"/>
      <c r="E122" s="167"/>
      <c r="F122" s="167"/>
      <c r="G122" s="167"/>
      <c r="H122" s="167"/>
      <c r="I122" s="167"/>
      <c r="J122" s="167"/>
      <c r="K122" s="167"/>
      <c r="L122" s="167"/>
      <c r="M122" s="108"/>
      <c r="N122" s="108"/>
      <c r="O122" s="108"/>
      <c r="P122" s="111"/>
      <c r="Q122" s="108"/>
      <c r="R122" s="110"/>
      <c r="S122" s="108"/>
      <c r="T122" s="108"/>
      <c r="U122" s="108"/>
      <c r="V122" s="112">
        <v>5.0</v>
      </c>
      <c r="W122" s="35"/>
      <c r="X122" s="35"/>
      <c r="Y122" s="35"/>
      <c r="Z122" s="35"/>
      <c r="AA122" s="84">
        <f t="shared" si="3"/>
        <v>5</v>
      </c>
      <c r="AB122" s="144">
        <f t="shared" si="4"/>
        <v>7.142857143</v>
      </c>
      <c r="AC122" s="139">
        <f t="shared" si="5"/>
        <v>1</v>
      </c>
    </row>
    <row r="123">
      <c r="A123" s="35">
        <v>121.0</v>
      </c>
      <c r="B123" s="106" t="s">
        <v>509</v>
      </c>
      <c r="C123" s="167"/>
      <c r="D123" s="167"/>
      <c r="E123" s="167"/>
      <c r="F123" s="167"/>
      <c r="G123" s="167"/>
      <c r="H123" s="167"/>
      <c r="I123" s="167"/>
      <c r="J123" s="167"/>
      <c r="K123" s="167"/>
      <c r="L123" s="167"/>
      <c r="M123" s="108"/>
      <c r="N123" s="108"/>
      <c r="O123" s="108"/>
      <c r="P123" s="111"/>
      <c r="Q123" s="108"/>
      <c r="R123" s="110"/>
      <c r="S123" s="108"/>
      <c r="T123" s="108"/>
      <c r="U123" s="108"/>
      <c r="V123" s="112">
        <v>5.0</v>
      </c>
      <c r="W123" s="35"/>
      <c r="X123" s="35"/>
      <c r="Y123" s="35"/>
      <c r="Z123" s="35"/>
      <c r="AA123" s="84">
        <f t="shared" si="3"/>
        <v>5</v>
      </c>
      <c r="AB123" s="144">
        <f t="shared" si="4"/>
        <v>7.142857143</v>
      </c>
      <c r="AC123" s="139">
        <f t="shared" si="5"/>
        <v>1</v>
      </c>
    </row>
    <row r="124">
      <c r="A124" s="35">
        <v>122.0</v>
      </c>
      <c r="B124" s="106" t="s">
        <v>513</v>
      </c>
      <c r="C124" s="167"/>
      <c r="D124" s="167"/>
      <c r="E124" s="167"/>
      <c r="F124" s="167"/>
      <c r="G124" s="167"/>
      <c r="H124" s="167"/>
      <c r="I124" s="167"/>
      <c r="J124" s="167"/>
      <c r="K124" s="167"/>
      <c r="L124" s="167"/>
      <c r="M124" s="108"/>
      <c r="N124" s="108"/>
      <c r="O124" s="108"/>
      <c r="P124" s="111"/>
      <c r="Q124" s="108"/>
      <c r="R124" s="110"/>
      <c r="S124" s="108"/>
      <c r="T124" s="108"/>
      <c r="U124" s="108"/>
      <c r="V124" s="112">
        <v>5.0</v>
      </c>
      <c r="W124" s="35">
        <v>5.0</v>
      </c>
      <c r="X124" s="35">
        <v>5.0</v>
      </c>
      <c r="Y124" s="35"/>
      <c r="Z124" s="35"/>
      <c r="AA124" s="84">
        <f t="shared" si="3"/>
        <v>15</v>
      </c>
      <c r="AB124" s="144">
        <f t="shared" si="4"/>
        <v>21.42857143</v>
      </c>
      <c r="AC124" s="139">
        <f t="shared" si="5"/>
        <v>3</v>
      </c>
    </row>
    <row r="125">
      <c r="A125" s="35">
        <v>123.0</v>
      </c>
      <c r="B125" s="106" t="s">
        <v>517</v>
      </c>
      <c r="C125" s="167"/>
      <c r="D125" s="167"/>
      <c r="E125" s="167"/>
      <c r="F125" s="167"/>
      <c r="G125" s="167"/>
      <c r="H125" s="167"/>
      <c r="I125" s="167"/>
      <c r="J125" s="167"/>
      <c r="K125" s="167"/>
      <c r="L125" s="167"/>
      <c r="M125" s="108"/>
      <c r="N125" s="108"/>
      <c r="O125" s="108"/>
      <c r="P125" s="111"/>
      <c r="Q125" s="108"/>
      <c r="R125" s="110"/>
      <c r="S125" s="108"/>
      <c r="T125" s="108"/>
      <c r="U125" s="108"/>
      <c r="V125" s="112">
        <v>5.0</v>
      </c>
      <c r="W125" s="35"/>
      <c r="X125" s="35"/>
      <c r="Y125" s="35"/>
      <c r="Z125" s="35"/>
      <c r="AA125" s="84">
        <f t="shared" si="3"/>
        <v>5</v>
      </c>
      <c r="AB125" s="144">
        <f t="shared" si="4"/>
        <v>7.142857143</v>
      </c>
      <c r="AC125" s="139">
        <f t="shared" si="5"/>
        <v>1</v>
      </c>
    </row>
    <row r="126">
      <c r="A126" s="35">
        <v>124.0</v>
      </c>
      <c r="B126" s="106" t="s">
        <v>521</v>
      </c>
      <c r="C126" s="167"/>
      <c r="D126" s="167"/>
      <c r="E126" s="167"/>
      <c r="F126" s="167"/>
      <c r="G126" s="167"/>
      <c r="H126" s="167"/>
      <c r="I126" s="167"/>
      <c r="J126" s="167"/>
      <c r="K126" s="167"/>
      <c r="L126" s="167"/>
      <c r="M126" s="108"/>
      <c r="N126" s="108"/>
      <c r="O126" s="108"/>
      <c r="P126" s="111"/>
      <c r="Q126" s="108"/>
      <c r="R126" s="110"/>
      <c r="S126" s="108"/>
      <c r="T126" s="108"/>
      <c r="U126" s="108"/>
      <c r="V126" s="112">
        <v>5.0</v>
      </c>
      <c r="W126" s="35"/>
      <c r="X126" s="35"/>
      <c r="Y126" s="35"/>
      <c r="Z126" s="35"/>
      <c r="AA126" s="84">
        <f t="shared" si="3"/>
        <v>5</v>
      </c>
      <c r="AB126" s="144">
        <f t="shared" si="4"/>
        <v>7.142857143</v>
      </c>
      <c r="AC126" s="139">
        <f t="shared" si="5"/>
        <v>1</v>
      </c>
    </row>
    <row r="127">
      <c r="A127" s="35">
        <v>125.0</v>
      </c>
      <c r="B127" s="106" t="s">
        <v>524</v>
      </c>
      <c r="C127" s="167"/>
      <c r="D127" s="167"/>
      <c r="E127" s="167"/>
      <c r="F127" s="167"/>
      <c r="G127" s="167"/>
      <c r="H127" s="167"/>
      <c r="I127" s="167"/>
      <c r="J127" s="167"/>
      <c r="K127" s="167"/>
      <c r="L127" s="167"/>
      <c r="M127" s="108"/>
      <c r="N127" s="108"/>
      <c r="O127" s="108"/>
      <c r="P127" s="111"/>
      <c r="Q127" s="108"/>
      <c r="R127" s="110"/>
      <c r="S127" s="108"/>
      <c r="T127" s="108"/>
      <c r="U127" s="108"/>
      <c r="V127" s="112"/>
      <c r="W127" s="35">
        <v>5.0</v>
      </c>
      <c r="X127" s="35"/>
      <c r="Y127" s="35"/>
      <c r="Z127" s="35"/>
      <c r="AA127" s="84">
        <f t="shared" si="3"/>
        <v>5</v>
      </c>
      <c r="AB127" s="144">
        <f t="shared" si="4"/>
        <v>7.142857143</v>
      </c>
      <c r="AC127" s="139">
        <f t="shared" si="5"/>
        <v>1</v>
      </c>
    </row>
    <row r="128">
      <c r="A128" s="112">
        <v>126.0</v>
      </c>
      <c r="B128" s="106" t="s">
        <v>528</v>
      </c>
      <c r="C128" s="167"/>
      <c r="D128" s="167"/>
      <c r="E128" s="167"/>
      <c r="F128" s="167"/>
      <c r="G128" s="167"/>
      <c r="H128" s="167"/>
      <c r="I128" s="167"/>
      <c r="J128" s="167"/>
      <c r="K128" s="167"/>
      <c r="L128" s="167"/>
      <c r="M128" s="108"/>
      <c r="N128" s="108"/>
      <c r="O128" s="108"/>
      <c r="P128" s="111"/>
      <c r="Q128" s="108"/>
      <c r="R128" s="110"/>
      <c r="S128" s="108"/>
      <c r="T128" s="108"/>
      <c r="U128" s="108"/>
      <c r="V128" s="108"/>
      <c r="W128" s="35">
        <v>5.0</v>
      </c>
      <c r="X128" s="35"/>
      <c r="Y128" s="35"/>
      <c r="Z128" s="35"/>
      <c r="AA128" s="84">
        <f t="shared" si="3"/>
        <v>5</v>
      </c>
      <c r="AB128" s="144">
        <f t="shared" si="4"/>
        <v>7.142857143</v>
      </c>
      <c r="AC128" s="139">
        <f t="shared" si="5"/>
        <v>1</v>
      </c>
    </row>
    <row r="129">
      <c r="A129" s="112">
        <v>127.0</v>
      </c>
      <c r="B129" s="106" t="s">
        <v>532</v>
      </c>
      <c r="C129" s="167"/>
      <c r="D129" s="167"/>
      <c r="E129" s="167"/>
      <c r="F129" s="167"/>
      <c r="G129" s="167"/>
      <c r="H129" s="167"/>
      <c r="I129" s="167"/>
      <c r="J129" s="167"/>
      <c r="K129" s="167"/>
      <c r="L129" s="167"/>
      <c r="M129" s="108"/>
      <c r="N129" s="108"/>
      <c r="O129" s="108"/>
      <c r="P129" s="111"/>
      <c r="Q129" s="108"/>
      <c r="R129" s="110"/>
      <c r="S129" s="108"/>
      <c r="T129" s="108"/>
      <c r="U129" s="108"/>
      <c r="V129" s="108"/>
      <c r="W129" s="35">
        <v>5.0</v>
      </c>
      <c r="X129" s="35"/>
      <c r="Y129" s="35"/>
      <c r="Z129" s="35"/>
      <c r="AA129" s="84">
        <f t="shared" si="3"/>
        <v>5</v>
      </c>
      <c r="AB129" s="144">
        <f t="shared" si="4"/>
        <v>7.142857143</v>
      </c>
      <c r="AC129" s="139">
        <f t="shared" si="5"/>
        <v>1</v>
      </c>
    </row>
    <row r="130">
      <c r="A130" s="112">
        <v>128.0</v>
      </c>
      <c r="B130" s="106" t="s">
        <v>536</v>
      </c>
      <c r="C130" s="167"/>
      <c r="D130" s="167"/>
      <c r="E130" s="167"/>
      <c r="F130" s="167"/>
      <c r="G130" s="167"/>
      <c r="H130" s="167"/>
      <c r="I130" s="167"/>
      <c r="J130" s="167"/>
      <c r="K130" s="167"/>
      <c r="L130" s="167"/>
      <c r="M130" s="108"/>
      <c r="N130" s="108"/>
      <c r="O130" s="108"/>
      <c r="P130" s="111"/>
      <c r="Q130" s="108"/>
      <c r="R130" s="110"/>
      <c r="S130" s="108"/>
      <c r="T130" s="108"/>
      <c r="U130" s="108"/>
      <c r="V130" s="108"/>
      <c r="W130" s="35">
        <v>5.0</v>
      </c>
      <c r="X130" s="35"/>
      <c r="Y130" s="35"/>
      <c r="Z130" s="35"/>
      <c r="AA130" s="84">
        <f t="shared" si="3"/>
        <v>5</v>
      </c>
      <c r="AB130" s="144">
        <f t="shared" si="4"/>
        <v>7.142857143</v>
      </c>
      <c r="AC130" s="139">
        <f t="shared" si="5"/>
        <v>1</v>
      </c>
    </row>
    <row r="131">
      <c r="A131" s="112">
        <v>129.0</v>
      </c>
      <c r="B131" s="106" t="s">
        <v>539</v>
      </c>
      <c r="C131" s="167"/>
      <c r="D131" s="167"/>
      <c r="E131" s="167"/>
      <c r="F131" s="167"/>
      <c r="G131" s="167"/>
      <c r="H131" s="167"/>
      <c r="I131" s="167"/>
      <c r="J131" s="167"/>
      <c r="K131" s="167"/>
      <c r="L131" s="167"/>
      <c r="M131" s="108"/>
      <c r="N131" s="108"/>
      <c r="O131" s="108"/>
      <c r="P131" s="111"/>
      <c r="Q131" s="108"/>
      <c r="R131" s="110"/>
      <c r="S131" s="108"/>
      <c r="T131" s="108"/>
      <c r="U131" s="108"/>
      <c r="V131" s="108"/>
      <c r="W131" s="35"/>
      <c r="X131" s="35">
        <v>5.0</v>
      </c>
      <c r="Y131" s="35"/>
      <c r="Z131" s="35"/>
      <c r="AA131" s="84">
        <f t="shared" si="3"/>
        <v>5</v>
      </c>
      <c r="AB131" s="144">
        <f t="shared" si="4"/>
        <v>7.142857143</v>
      </c>
      <c r="AC131" s="139">
        <f t="shared" si="5"/>
        <v>1</v>
      </c>
    </row>
    <row r="132">
      <c r="A132" s="112">
        <v>130.0</v>
      </c>
      <c r="B132" s="106" t="s">
        <v>543</v>
      </c>
      <c r="C132" s="167"/>
      <c r="D132" s="167"/>
      <c r="E132" s="167"/>
      <c r="F132" s="167"/>
      <c r="G132" s="167"/>
      <c r="H132" s="167"/>
      <c r="I132" s="167"/>
      <c r="J132" s="167"/>
      <c r="K132" s="167"/>
      <c r="L132" s="167"/>
      <c r="M132" s="108"/>
      <c r="N132" s="108"/>
      <c r="O132" s="108"/>
      <c r="P132" s="111"/>
      <c r="Q132" s="108"/>
      <c r="R132" s="110"/>
      <c r="S132" s="108"/>
      <c r="T132" s="108"/>
      <c r="U132" s="108"/>
      <c r="V132" s="108"/>
      <c r="W132" s="35"/>
      <c r="X132" s="35"/>
      <c r="Y132" s="35"/>
      <c r="Z132" s="35">
        <v>5.0</v>
      </c>
      <c r="AA132" s="84">
        <f t="shared" si="3"/>
        <v>5</v>
      </c>
      <c r="AB132" s="144">
        <f t="shared" si="4"/>
        <v>7.142857143</v>
      </c>
      <c r="AC132" s="139">
        <f t="shared" si="5"/>
        <v>1</v>
      </c>
    </row>
    <row r="133">
      <c r="A133" s="112">
        <v>131.0</v>
      </c>
      <c r="B133" s="106" t="s">
        <v>547</v>
      </c>
      <c r="C133" s="167"/>
      <c r="D133" s="167"/>
      <c r="E133" s="167"/>
      <c r="F133" s="167"/>
      <c r="G133" s="167"/>
      <c r="H133" s="167"/>
      <c r="I133" s="167"/>
      <c r="J133" s="167"/>
      <c r="K133" s="167"/>
      <c r="L133" s="167"/>
      <c r="M133" s="108"/>
      <c r="N133" s="108"/>
      <c r="O133" s="108"/>
      <c r="P133" s="111"/>
      <c r="Q133" s="108"/>
      <c r="R133" s="110"/>
      <c r="S133" s="108"/>
      <c r="T133" s="108"/>
      <c r="U133" s="108"/>
      <c r="V133" s="108"/>
      <c r="W133" s="35"/>
      <c r="X133" s="35"/>
      <c r="Y133" s="35"/>
      <c r="Z133" s="35">
        <v>5.0</v>
      </c>
      <c r="AA133" s="84">
        <f t="shared" si="3"/>
        <v>5</v>
      </c>
      <c r="AB133" s="144">
        <f t="shared" si="4"/>
        <v>7.142857143</v>
      </c>
      <c r="AC133" s="139">
        <f t="shared" si="5"/>
        <v>1</v>
      </c>
    </row>
    <row r="134">
      <c r="A134" s="112">
        <v>132.0</v>
      </c>
      <c r="B134" s="106" t="s">
        <v>551</v>
      </c>
      <c r="C134" s="167"/>
      <c r="D134" s="167"/>
      <c r="E134" s="167"/>
      <c r="F134" s="167"/>
      <c r="G134" s="167"/>
      <c r="H134" s="167"/>
      <c r="I134" s="167"/>
      <c r="J134" s="167"/>
      <c r="K134" s="167"/>
      <c r="L134" s="167"/>
      <c r="M134" s="108"/>
      <c r="N134" s="108"/>
      <c r="O134" s="108"/>
      <c r="P134" s="111"/>
      <c r="Q134" s="108"/>
      <c r="R134" s="110"/>
      <c r="S134" s="108"/>
      <c r="T134" s="108"/>
      <c r="U134" s="108"/>
      <c r="V134" s="108"/>
      <c r="W134" s="35"/>
      <c r="X134" s="35"/>
      <c r="Y134" s="35"/>
      <c r="Z134" s="35">
        <v>5.0</v>
      </c>
      <c r="AA134" s="84">
        <f t="shared" si="3"/>
        <v>5</v>
      </c>
      <c r="AB134" s="144">
        <f t="shared" si="4"/>
        <v>7.142857143</v>
      </c>
      <c r="AC134" s="139">
        <f t="shared" si="5"/>
        <v>1</v>
      </c>
    </row>
    <row r="135">
      <c r="A135" s="108"/>
      <c r="B135" s="108"/>
      <c r="C135" s="167"/>
      <c r="D135" s="167"/>
      <c r="E135" s="167"/>
      <c r="F135" s="167"/>
      <c r="G135" s="167"/>
      <c r="H135" s="167"/>
      <c r="I135" s="167"/>
      <c r="J135" s="167"/>
      <c r="K135" s="167"/>
      <c r="L135" s="167"/>
      <c r="M135" s="108"/>
      <c r="N135" s="108"/>
      <c r="O135" s="108"/>
      <c r="P135" s="111"/>
      <c r="Q135" s="108"/>
      <c r="R135" s="110"/>
      <c r="S135" s="108"/>
      <c r="T135" s="108"/>
      <c r="U135" s="108"/>
      <c r="V135" s="108"/>
      <c r="W135" s="35"/>
      <c r="X135" s="35"/>
      <c r="Y135" s="35"/>
      <c r="Z135" s="35"/>
      <c r="AA135" s="84">
        <f t="shared" si="3"/>
        <v>0</v>
      </c>
      <c r="AB135" s="144">
        <f t="shared" si="4"/>
        <v>0</v>
      </c>
      <c r="AC135" s="139">
        <f t="shared" si="5"/>
        <v>0</v>
      </c>
    </row>
    <row r="136">
      <c r="A136" s="108"/>
      <c r="B136" s="108"/>
      <c r="C136" s="167"/>
      <c r="D136" s="167"/>
      <c r="E136" s="167"/>
      <c r="F136" s="167"/>
      <c r="G136" s="167"/>
      <c r="H136" s="167"/>
      <c r="I136" s="167"/>
      <c r="J136" s="167"/>
      <c r="K136" s="167"/>
      <c r="L136" s="167"/>
      <c r="M136" s="108"/>
      <c r="N136" s="108"/>
      <c r="O136" s="108"/>
      <c r="P136" s="111"/>
      <c r="Q136" s="108"/>
      <c r="R136" s="110"/>
      <c r="S136" s="108"/>
      <c r="T136" s="108"/>
      <c r="U136" s="108"/>
      <c r="V136" s="108"/>
      <c r="W136" s="35"/>
      <c r="X136" s="35"/>
      <c r="Y136" s="35"/>
      <c r="Z136" s="35"/>
      <c r="AA136" s="84">
        <f t="shared" si="3"/>
        <v>0</v>
      </c>
      <c r="AB136" s="144">
        <f t="shared" si="4"/>
        <v>0</v>
      </c>
      <c r="AC136" s="139">
        <f t="shared" si="5"/>
        <v>0</v>
      </c>
    </row>
    <row r="137">
      <c r="A137" s="108"/>
      <c r="B137" s="108"/>
      <c r="C137" s="167"/>
      <c r="D137" s="167"/>
      <c r="E137" s="167"/>
      <c r="F137" s="167"/>
      <c r="G137" s="167"/>
      <c r="H137" s="167"/>
      <c r="I137" s="167"/>
      <c r="J137" s="167"/>
      <c r="K137" s="167"/>
      <c r="L137" s="167"/>
      <c r="M137" s="108"/>
      <c r="N137" s="108"/>
      <c r="O137" s="108"/>
      <c r="P137" s="111"/>
      <c r="Q137" s="108"/>
      <c r="R137" s="110"/>
      <c r="S137" s="108"/>
      <c r="T137" s="108"/>
      <c r="U137" s="108"/>
      <c r="V137" s="108"/>
      <c r="W137" s="35"/>
      <c r="X137" s="35"/>
      <c r="Y137" s="35"/>
      <c r="Z137" s="35"/>
      <c r="AA137" s="84">
        <f t="shared" si="3"/>
        <v>0</v>
      </c>
      <c r="AB137" s="144">
        <f t="shared" si="4"/>
        <v>0</v>
      </c>
      <c r="AC137" s="139">
        <f t="shared" si="5"/>
        <v>0</v>
      </c>
    </row>
    <row r="138">
      <c r="A138" s="108"/>
      <c r="B138" s="108"/>
      <c r="C138" s="167"/>
      <c r="D138" s="167"/>
      <c r="E138" s="167"/>
      <c r="F138" s="167"/>
      <c r="G138" s="167"/>
      <c r="H138" s="167"/>
      <c r="I138" s="167"/>
      <c r="J138" s="167"/>
      <c r="K138" s="167"/>
      <c r="L138" s="167"/>
      <c r="M138" s="108"/>
      <c r="N138" s="108"/>
      <c r="O138" s="108"/>
      <c r="P138" s="111"/>
      <c r="Q138" s="108"/>
      <c r="R138" s="110"/>
      <c r="S138" s="108"/>
      <c r="T138" s="108"/>
      <c r="U138" s="108"/>
      <c r="V138" s="108"/>
      <c r="W138" s="35"/>
      <c r="X138" s="35"/>
      <c r="Y138" s="35"/>
      <c r="Z138" s="35"/>
      <c r="AA138" s="84">
        <f t="shared" si="3"/>
        <v>0</v>
      </c>
      <c r="AB138" s="144">
        <f t="shared" si="4"/>
        <v>0</v>
      </c>
      <c r="AC138" s="139">
        <f t="shared" si="5"/>
        <v>0</v>
      </c>
    </row>
    <row r="139">
      <c r="A139" s="108"/>
      <c r="B139" s="108"/>
      <c r="C139" s="167"/>
      <c r="D139" s="167"/>
      <c r="E139" s="167"/>
      <c r="F139" s="167"/>
      <c r="G139" s="167"/>
      <c r="H139" s="167"/>
      <c r="I139" s="167"/>
      <c r="J139" s="167"/>
      <c r="K139" s="167"/>
      <c r="L139" s="167"/>
      <c r="M139" s="108"/>
      <c r="N139" s="108"/>
      <c r="O139" s="108"/>
      <c r="P139" s="111"/>
      <c r="Q139" s="108"/>
      <c r="R139" s="110"/>
      <c r="S139" s="108"/>
      <c r="T139" s="108"/>
      <c r="U139" s="108"/>
      <c r="V139" s="108"/>
      <c r="W139" s="35"/>
      <c r="X139" s="35"/>
      <c r="Y139" s="35"/>
      <c r="Z139" s="35"/>
      <c r="AA139" s="84">
        <f t="shared" si="3"/>
        <v>0</v>
      </c>
      <c r="AB139" s="144">
        <f t="shared" si="4"/>
        <v>0</v>
      </c>
      <c r="AC139" s="139">
        <f t="shared" si="5"/>
        <v>0</v>
      </c>
    </row>
    <row r="140">
      <c r="A140" s="108"/>
      <c r="B140" s="108"/>
      <c r="C140" s="167"/>
      <c r="D140" s="167"/>
      <c r="E140" s="167"/>
      <c r="F140" s="167"/>
      <c r="G140" s="167"/>
      <c r="H140" s="167"/>
      <c r="I140" s="167"/>
      <c r="J140" s="167"/>
      <c r="K140" s="167"/>
      <c r="L140" s="167"/>
      <c r="M140" s="108"/>
      <c r="N140" s="108"/>
      <c r="O140" s="108"/>
      <c r="P140" s="111"/>
      <c r="Q140" s="108"/>
      <c r="R140" s="110"/>
      <c r="S140" s="108"/>
      <c r="T140" s="108"/>
      <c r="U140" s="108"/>
      <c r="V140" s="108"/>
      <c r="W140" s="35"/>
      <c r="X140" s="35"/>
      <c r="Y140" s="35"/>
      <c r="Z140" s="35"/>
      <c r="AA140" s="84">
        <f t="shared" si="3"/>
        <v>0</v>
      </c>
      <c r="AB140" s="144">
        <f t="shared" si="4"/>
        <v>0</v>
      </c>
      <c r="AC140" s="139">
        <f t="shared" si="5"/>
        <v>0</v>
      </c>
    </row>
    <row r="141">
      <c r="A141" s="108"/>
      <c r="B141" s="108"/>
      <c r="C141" s="167"/>
      <c r="D141" s="167"/>
      <c r="E141" s="167"/>
      <c r="F141" s="167"/>
      <c r="G141" s="167"/>
      <c r="H141" s="167"/>
      <c r="I141" s="167"/>
      <c r="J141" s="167"/>
      <c r="K141" s="167"/>
      <c r="L141" s="167"/>
      <c r="M141" s="108"/>
      <c r="N141" s="108"/>
      <c r="O141" s="108"/>
      <c r="P141" s="111"/>
      <c r="Q141" s="108"/>
      <c r="R141" s="110"/>
      <c r="S141" s="108"/>
      <c r="T141" s="108"/>
      <c r="U141" s="108"/>
      <c r="V141" s="108"/>
      <c r="W141" s="35"/>
      <c r="X141" s="35"/>
      <c r="Y141" s="35"/>
      <c r="Z141" s="35"/>
      <c r="AA141" s="84">
        <f t="shared" si="3"/>
        <v>0</v>
      </c>
      <c r="AB141" s="144">
        <f t="shared" si="4"/>
        <v>0</v>
      </c>
      <c r="AC141" s="139">
        <f t="shared" si="5"/>
        <v>0</v>
      </c>
    </row>
    <row r="142">
      <c r="A142" s="108"/>
      <c r="B142" s="108"/>
      <c r="C142" s="167"/>
      <c r="D142" s="167"/>
      <c r="E142" s="167"/>
      <c r="F142" s="167"/>
      <c r="G142" s="167"/>
      <c r="H142" s="167"/>
      <c r="I142" s="167"/>
      <c r="J142" s="167"/>
      <c r="K142" s="167"/>
      <c r="L142" s="167"/>
      <c r="M142" s="108"/>
      <c r="N142" s="108"/>
      <c r="O142" s="108"/>
      <c r="P142" s="111"/>
      <c r="Q142" s="108"/>
      <c r="R142" s="110"/>
      <c r="S142" s="108"/>
      <c r="T142" s="108"/>
      <c r="U142" s="108"/>
      <c r="V142" s="108"/>
      <c r="W142" s="35"/>
      <c r="X142" s="35"/>
      <c r="Y142" s="35"/>
      <c r="Z142" s="35"/>
      <c r="AA142" s="84">
        <f t="shared" si="3"/>
        <v>0</v>
      </c>
      <c r="AB142" s="144">
        <f t="shared" si="4"/>
        <v>0</v>
      </c>
      <c r="AC142" s="139">
        <f t="shared" si="5"/>
        <v>0</v>
      </c>
    </row>
    <row r="143">
      <c r="A143" s="108"/>
      <c r="B143" s="108"/>
      <c r="C143" s="167"/>
      <c r="D143" s="167"/>
      <c r="E143" s="167"/>
      <c r="F143" s="167"/>
      <c r="G143" s="167"/>
      <c r="H143" s="167"/>
      <c r="I143" s="167"/>
      <c r="J143" s="167"/>
      <c r="K143" s="167"/>
      <c r="L143" s="167"/>
      <c r="M143" s="108"/>
      <c r="N143" s="108"/>
      <c r="O143" s="108"/>
      <c r="P143" s="111"/>
      <c r="Q143" s="108"/>
      <c r="R143" s="110"/>
      <c r="S143" s="108"/>
      <c r="T143" s="108"/>
      <c r="U143" s="108"/>
      <c r="V143" s="108"/>
      <c r="W143" s="35"/>
      <c r="X143" s="35"/>
      <c r="Y143" s="35"/>
      <c r="Z143" s="35"/>
      <c r="AA143" s="84">
        <f t="shared" si="3"/>
        <v>0</v>
      </c>
      <c r="AB143" s="144">
        <f t="shared" si="4"/>
        <v>0</v>
      </c>
      <c r="AC143" s="139">
        <f t="shared" si="5"/>
        <v>0</v>
      </c>
    </row>
    <row r="144">
      <c r="A144" s="108"/>
      <c r="B144" s="108"/>
      <c r="C144" s="167"/>
      <c r="D144" s="167"/>
      <c r="E144" s="167"/>
      <c r="F144" s="167"/>
      <c r="G144" s="167"/>
      <c r="H144" s="167"/>
      <c r="I144" s="167"/>
      <c r="J144" s="167"/>
      <c r="K144" s="167"/>
      <c r="L144" s="167"/>
      <c r="M144" s="108"/>
      <c r="N144" s="108"/>
      <c r="O144" s="108"/>
      <c r="P144" s="111"/>
      <c r="Q144" s="108"/>
      <c r="R144" s="110"/>
      <c r="S144" s="108"/>
      <c r="T144" s="108"/>
      <c r="U144" s="108"/>
      <c r="V144" s="108"/>
      <c r="W144" s="35"/>
      <c r="X144" s="35"/>
      <c r="Y144" s="35"/>
      <c r="Z144" s="35"/>
      <c r="AA144" s="84">
        <f t="shared" si="3"/>
        <v>0</v>
      </c>
      <c r="AB144" s="144">
        <f t="shared" si="4"/>
        <v>0</v>
      </c>
      <c r="AC144" s="139">
        <f t="shared" si="5"/>
        <v>0</v>
      </c>
    </row>
    <row r="145">
      <c r="A145" s="108"/>
      <c r="B145" s="108"/>
      <c r="C145" s="167"/>
      <c r="D145" s="167"/>
      <c r="E145" s="167"/>
      <c r="F145" s="167"/>
      <c r="G145" s="167"/>
      <c r="H145" s="167"/>
      <c r="I145" s="167"/>
      <c r="J145" s="167"/>
      <c r="K145" s="167"/>
      <c r="L145" s="167"/>
      <c r="M145" s="108"/>
      <c r="N145" s="108"/>
      <c r="O145" s="108"/>
      <c r="P145" s="111"/>
      <c r="Q145" s="108"/>
      <c r="R145" s="110"/>
      <c r="S145" s="108"/>
      <c r="T145" s="108"/>
      <c r="U145" s="108"/>
      <c r="V145" s="108"/>
      <c r="W145" s="35"/>
      <c r="X145" s="35"/>
      <c r="Y145" s="35"/>
      <c r="Z145" s="35"/>
      <c r="AA145" s="84">
        <f t="shared" si="3"/>
        <v>0</v>
      </c>
      <c r="AB145" s="144">
        <f t="shared" si="4"/>
        <v>0</v>
      </c>
      <c r="AC145" s="139">
        <f t="shared" si="5"/>
        <v>0</v>
      </c>
    </row>
    <row r="146">
      <c r="A146" s="108"/>
      <c r="B146" s="108"/>
      <c r="C146" s="167"/>
      <c r="D146" s="167"/>
      <c r="E146" s="167"/>
      <c r="F146" s="167"/>
      <c r="G146" s="167"/>
      <c r="H146" s="167"/>
      <c r="I146" s="167"/>
      <c r="J146" s="167"/>
      <c r="K146" s="167"/>
      <c r="L146" s="167"/>
      <c r="M146" s="108"/>
      <c r="N146" s="108"/>
      <c r="O146" s="108"/>
      <c r="P146" s="111"/>
      <c r="Q146" s="108"/>
      <c r="R146" s="110"/>
      <c r="S146" s="108"/>
      <c r="T146" s="108"/>
      <c r="U146" s="108"/>
      <c r="V146" s="108"/>
      <c r="W146" s="35"/>
      <c r="X146" s="35"/>
      <c r="Y146" s="35"/>
      <c r="Z146" s="35"/>
      <c r="AA146" s="84">
        <f t="shared" si="3"/>
        <v>0</v>
      </c>
      <c r="AB146" s="144">
        <f t="shared" si="4"/>
        <v>0</v>
      </c>
      <c r="AC146" s="139">
        <f t="shared" si="5"/>
        <v>0</v>
      </c>
    </row>
    <row r="147">
      <c r="A147" s="108"/>
      <c r="B147" s="108"/>
      <c r="C147" s="167"/>
      <c r="D147" s="167"/>
      <c r="E147" s="167"/>
      <c r="F147" s="167"/>
      <c r="G147" s="167"/>
      <c r="H147" s="167"/>
      <c r="I147" s="167"/>
      <c r="J147" s="167"/>
      <c r="K147" s="167"/>
      <c r="L147" s="167"/>
      <c r="M147" s="108"/>
      <c r="N147" s="108"/>
      <c r="O147" s="108"/>
      <c r="P147" s="111"/>
      <c r="Q147" s="108"/>
      <c r="R147" s="110"/>
      <c r="S147" s="108"/>
      <c r="T147" s="108"/>
      <c r="U147" s="108"/>
      <c r="V147" s="108"/>
      <c r="W147" s="35"/>
      <c r="X147" s="35"/>
      <c r="Y147" s="35"/>
      <c r="Z147" s="35"/>
      <c r="AA147" s="84">
        <f t="shared" si="3"/>
        <v>0</v>
      </c>
      <c r="AB147" s="144">
        <f t="shared" si="4"/>
        <v>0</v>
      </c>
      <c r="AC147" s="139">
        <f t="shared" si="5"/>
        <v>0</v>
      </c>
    </row>
    <row r="148">
      <c r="A148" s="108"/>
      <c r="B148" s="108"/>
      <c r="C148" s="167"/>
      <c r="D148" s="167"/>
      <c r="E148" s="167"/>
      <c r="F148" s="167"/>
      <c r="G148" s="167"/>
      <c r="H148" s="167"/>
      <c r="I148" s="167"/>
      <c r="J148" s="167"/>
      <c r="K148" s="167"/>
      <c r="L148" s="167"/>
      <c r="M148" s="108"/>
      <c r="N148" s="108"/>
      <c r="O148" s="108"/>
      <c r="P148" s="111"/>
      <c r="Q148" s="108"/>
      <c r="R148" s="110"/>
      <c r="S148" s="108"/>
      <c r="T148" s="108"/>
      <c r="U148" s="108"/>
      <c r="V148" s="108"/>
      <c r="W148" s="35"/>
      <c r="X148" s="35"/>
      <c r="Y148" s="35"/>
      <c r="Z148" s="35"/>
      <c r="AA148" s="84">
        <f t="shared" si="3"/>
        <v>0</v>
      </c>
      <c r="AB148" s="144">
        <f t="shared" si="4"/>
        <v>0</v>
      </c>
      <c r="AC148" s="139">
        <f t="shared" si="5"/>
        <v>0</v>
      </c>
    </row>
    <row r="149">
      <c r="A149" s="108"/>
      <c r="B149" s="108"/>
      <c r="C149" s="167"/>
      <c r="D149" s="167"/>
      <c r="E149" s="167"/>
      <c r="F149" s="167"/>
      <c r="G149" s="167"/>
      <c r="H149" s="167"/>
      <c r="I149" s="167"/>
      <c r="J149" s="167"/>
      <c r="K149" s="167"/>
      <c r="L149" s="167"/>
      <c r="M149" s="108"/>
      <c r="N149" s="108"/>
      <c r="O149" s="108"/>
      <c r="P149" s="111"/>
      <c r="Q149" s="108"/>
      <c r="R149" s="110"/>
      <c r="S149" s="108"/>
      <c r="T149" s="108"/>
      <c r="U149" s="108"/>
      <c r="V149" s="108"/>
      <c r="W149" s="35"/>
      <c r="X149" s="35"/>
      <c r="Y149" s="35"/>
      <c r="Z149" s="35"/>
      <c r="AA149" s="84">
        <f t="shared" si="3"/>
        <v>0</v>
      </c>
      <c r="AB149" s="144">
        <f t="shared" si="4"/>
        <v>0</v>
      </c>
      <c r="AC149" s="139">
        <f t="shared" si="5"/>
        <v>0</v>
      </c>
    </row>
    <row r="150">
      <c r="A150" s="108"/>
      <c r="B150" s="108"/>
      <c r="C150" s="167"/>
      <c r="D150" s="167"/>
      <c r="E150" s="167"/>
      <c r="F150" s="167"/>
      <c r="G150" s="167"/>
      <c r="H150" s="167"/>
      <c r="I150" s="167"/>
      <c r="J150" s="167"/>
      <c r="K150" s="167"/>
      <c r="L150" s="167"/>
      <c r="M150" s="108"/>
      <c r="N150" s="108"/>
      <c r="O150" s="108"/>
      <c r="P150" s="111"/>
      <c r="Q150" s="108"/>
      <c r="R150" s="110"/>
      <c r="S150" s="108"/>
      <c r="T150" s="108"/>
      <c r="U150" s="108"/>
      <c r="V150" s="108"/>
      <c r="W150" s="35"/>
      <c r="X150" s="35"/>
      <c r="Y150" s="35"/>
      <c r="Z150" s="35"/>
      <c r="AA150" s="84">
        <f t="shared" si="3"/>
        <v>0</v>
      </c>
      <c r="AB150" s="144">
        <f t="shared" si="4"/>
        <v>0</v>
      </c>
      <c r="AC150" s="139">
        <f t="shared" si="5"/>
        <v>0</v>
      </c>
    </row>
    <row r="151">
      <c r="A151" s="108"/>
      <c r="B151" s="108"/>
      <c r="C151" s="167"/>
      <c r="D151" s="167"/>
      <c r="E151" s="167"/>
      <c r="F151" s="167"/>
      <c r="G151" s="167"/>
      <c r="H151" s="167"/>
      <c r="I151" s="167"/>
      <c r="J151" s="167"/>
      <c r="K151" s="167"/>
      <c r="L151" s="167"/>
      <c r="M151" s="108"/>
      <c r="N151" s="108"/>
      <c r="O151" s="108"/>
      <c r="P151" s="111"/>
      <c r="Q151" s="108"/>
      <c r="R151" s="110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10"/>
    </row>
    <row r="152">
      <c r="A152" s="108"/>
      <c r="B152" s="108"/>
      <c r="C152" s="167"/>
      <c r="D152" s="167"/>
      <c r="E152" s="167"/>
      <c r="F152" s="167"/>
      <c r="G152" s="167"/>
      <c r="H152" s="167"/>
      <c r="I152" s="167"/>
      <c r="J152" s="167"/>
      <c r="K152" s="167"/>
      <c r="L152" s="167"/>
      <c r="M152" s="108"/>
      <c r="N152" s="108"/>
      <c r="O152" s="108"/>
      <c r="P152" s="111"/>
      <c r="Q152" s="108"/>
      <c r="R152" s="110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10"/>
    </row>
    <row r="153">
      <c r="A153" s="108"/>
      <c r="B153" s="108"/>
      <c r="C153" s="167"/>
      <c r="D153" s="167"/>
      <c r="E153" s="167"/>
      <c r="F153" s="167"/>
      <c r="G153" s="167"/>
      <c r="H153" s="167"/>
      <c r="I153" s="167"/>
      <c r="J153" s="167"/>
      <c r="K153" s="167"/>
      <c r="L153" s="167"/>
      <c r="M153" s="108"/>
      <c r="N153" s="108"/>
      <c r="O153" s="108"/>
      <c r="P153" s="111"/>
      <c r="Q153" s="108"/>
      <c r="R153" s="110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10"/>
    </row>
    <row r="154">
      <c r="A154" s="108"/>
      <c r="B154" s="108"/>
      <c r="C154" s="167"/>
      <c r="D154" s="167"/>
      <c r="E154" s="167"/>
      <c r="F154" s="167"/>
      <c r="G154" s="167"/>
      <c r="H154" s="167"/>
      <c r="I154" s="167"/>
      <c r="J154" s="167"/>
      <c r="K154" s="167"/>
      <c r="L154" s="167"/>
      <c r="M154" s="108"/>
      <c r="N154" s="108"/>
      <c r="O154" s="108"/>
      <c r="P154" s="111"/>
      <c r="Q154" s="108"/>
      <c r="R154" s="110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10"/>
    </row>
    <row r="155">
      <c r="A155" s="108"/>
      <c r="B155" s="108"/>
      <c r="C155" s="167"/>
      <c r="D155" s="167"/>
      <c r="E155" s="167"/>
      <c r="F155" s="167"/>
      <c r="G155" s="167"/>
      <c r="H155" s="167"/>
      <c r="I155" s="167"/>
      <c r="J155" s="167"/>
      <c r="K155" s="167"/>
      <c r="L155" s="167"/>
      <c r="M155" s="108"/>
      <c r="N155" s="108"/>
      <c r="O155" s="108"/>
      <c r="P155" s="111"/>
      <c r="Q155" s="108"/>
      <c r="R155" s="110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10"/>
    </row>
    <row r="156">
      <c r="A156" s="108"/>
      <c r="B156" s="108"/>
      <c r="C156" s="167"/>
      <c r="D156" s="167"/>
      <c r="E156" s="167"/>
      <c r="F156" s="167"/>
      <c r="G156" s="167"/>
      <c r="H156" s="167"/>
      <c r="I156" s="167"/>
      <c r="J156" s="167"/>
      <c r="K156" s="167"/>
      <c r="L156" s="167"/>
      <c r="M156" s="108"/>
      <c r="N156" s="108"/>
      <c r="O156" s="108"/>
      <c r="P156" s="111"/>
      <c r="Q156" s="108"/>
      <c r="R156" s="110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10"/>
    </row>
    <row r="157">
      <c r="A157" s="108"/>
      <c r="B157" s="108"/>
      <c r="C157" s="167"/>
      <c r="D157" s="167"/>
      <c r="E157" s="167"/>
      <c r="F157" s="167"/>
      <c r="G157" s="167"/>
      <c r="H157" s="167"/>
      <c r="I157" s="167"/>
      <c r="J157" s="167"/>
      <c r="K157" s="167"/>
      <c r="L157" s="167"/>
      <c r="M157" s="108"/>
      <c r="N157" s="108"/>
      <c r="O157" s="108"/>
      <c r="P157" s="111"/>
      <c r="Q157" s="108"/>
      <c r="R157" s="110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10"/>
    </row>
    <row r="158">
      <c r="A158" s="108"/>
      <c r="B158" s="108"/>
      <c r="C158" s="167"/>
      <c r="D158" s="167"/>
      <c r="E158" s="167"/>
      <c r="F158" s="167"/>
      <c r="G158" s="167"/>
      <c r="H158" s="167"/>
      <c r="I158" s="167"/>
      <c r="J158" s="167"/>
      <c r="K158" s="167"/>
      <c r="L158" s="167"/>
      <c r="M158" s="108"/>
      <c r="N158" s="108"/>
      <c r="O158" s="108"/>
      <c r="P158" s="111"/>
      <c r="Q158" s="108"/>
      <c r="R158" s="110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10"/>
    </row>
    <row r="159">
      <c r="A159" s="108"/>
      <c r="B159" s="108"/>
      <c r="C159" s="167"/>
      <c r="D159" s="167"/>
      <c r="E159" s="167"/>
      <c r="F159" s="167"/>
      <c r="G159" s="167"/>
      <c r="H159" s="167"/>
      <c r="I159" s="167"/>
      <c r="J159" s="167"/>
      <c r="K159" s="167"/>
      <c r="L159" s="167"/>
      <c r="M159" s="108"/>
      <c r="N159" s="108"/>
      <c r="O159" s="108"/>
      <c r="P159" s="111"/>
      <c r="Q159" s="108"/>
      <c r="R159" s="110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10"/>
    </row>
    <row r="160">
      <c r="A160" s="108"/>
      <c r="B160" s="108"/>
      <c r="C160" s="167"/>
      <c r="D160" s="167"/>
      <c r="E160" s="167"/>
      <c r="F160" s="167"/>
      <c r="G160" s="167"/>
      <c r="H160" s="167"/>
      <c r="I160" s="167"/>
      <c r="J160" s="167"/>
      <c r="K160" s="167"/>
      <c r="L160" s="167"/>
      <c r="M160" s="108"/>
      <c r="N160" s="108"/>
      <c r="O160" s="108"/>
      <c r="P160" s="111"/>
      <c r="Q160" s="108"/>
      <c r="R160" s="110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10"/>
    </row>
    <row r="161">
      <c r="A161" s="108"/>
      <c r="B161" s="108"/>
      <c r="C161" s="167"/>
      <c r="D161" s="167"/>
      <c r="E161" s="167"/>
      <c r="F161" s="167"/>
      <c r="G161" s="167"/>
      <c r="H161" s="167"/>
      <c r="I161" s="167"/>
      <c r="J161" s="167"/>
      <c r="K161" s="167"/>
      <c r="L161" s="167"/>
      <c r="M161" s="108"/>
      <c r="N161" s="108"/>
      <c r="O161" s="108"/>
      <c r="P161" s="111"/>
      <c r="Q161" s="108"/>
      <c r="R161" s="110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10"/>
    </row>
    <row r="162">
      <c r="A162" s="108"/>
      <c r="B162" s="108"/>
      <c r="C162" s="167"/>
      <c r="D162" s="167"/>
      <c r="E162" s="167"/>
      <c r="F162" s="167"/>
      <c r="G162" s="167"/>
      <c r="H162" s="167"/>
      <c r="I162" s="167"/>
      <c r="J162" s="167"/>
      <c r="K162" s="167"/>
      <c r="L162" s="167"/>
      <c r="M162" s="108"/>
      <c r="N162" s="108"/>
      <c r="O162" s="108"/>
      <c r="P162" s="111"/>
      <c r="Q162" s="108"/>
      <c r="R162" s="110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10"/>
    </row>
    <row r="163">
      <c r="A163" s="108"/>
      <c r="B163" s="108"/>
      <c r="C163" s="167"/>
      <c r="D163" s="167"/>
      <c r="E163" s="167"/>
      <c r="F163" s="167"/>
      <c r="G163" s="167"/>
      <c r="H163" s="167"/>
      <c r="I163" s="167"/>
      <c r="J163" s="167"/>
      <c r="K163" s="167"/>
      <c r="L163" s="167"/>
      <c r="M163" s="108"/>
      <c r="N163" s="108"/>
      <c r="O163" s="108"/>
      <c r="P163" s="111"/>
      <c r="Q163" s="108"/>
      <c r="R163" s="110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10"/>
    </row>
    <row r="164">
      <c r="A164" s="108"/>
      <c r="B164" s="108"/>
      <c r="C164" s="167"/>
      <c r="D164" s="167"/>
      <c r="E164" s="167"/>
      <c r="F164" s="167"/>
      <c r="G164" s="167"/>
      <c r="H164" s="167"/>
      <c r="I164" s="167"/>
      <c r="J164" s="167"/>
      <c r="K164" s="167"/>
      <c r="L164" s="167"/>
      <c r="M164" s="108"/>
      <c r="N164" s="108"/>
      <c r="O164" s="108"/>
      <c r="P164" s="111"/>
      <c r="Q164" s="108"/>
      <c r="R164" s="110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10"/>
    </row>
    <row r="165">
      <c r="A165" s="108"/>
      <c r="B165" s="108"/>
      <c r="C165" s="167"/>
      <c r="D165" s="167"/>
      <c r="E165" s="167"/>
      <c r="F165" s="167"/>
      <c r="G165" s="167"/>
      <c r="H165" s="167"/>
      <c r="I165" s="167"/>
      <c r="J165" s="167"/>
      <c r="K165" s="167"/>
      <c r="L165" s="167"/>
      <c r="M165" s="108"/>
      <c r="N165" s="108"/>
      <c r="O165" s="108"/>
      <c r="P165" s="111"/>
      <c r="Q165" s="108"/>
      <c r="R165" s="110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10"/>
    </row>
    <row r="166">
      <c r="A166" s="108"/>
      <c r="B166" s="108"/>
      <c r="C166" s="167"/>
      <c r="D166" s="167"/>
      <c r="E166" s="167"/>
      <c r="F166" s="167"/>
      <c r="G166" s="167"/>
      <c r="H166" s="167"/>
      <c r="I166" s="167"/>
      <c r="J166" s="167"/>
      <c r="K166" s="167"/>
      <c r="L166" s="167"/>
      <c r="M166" s="108"/>
      <c r="N166" s="108"/>
      <c r="O166" s="108"/>
      <c r="P166" s="111"/>
      <c r="Q166" s="108"/>
      <c r="R166" s="110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10"/>
    </row>
    <row r="167">
      <c r="A167" s="108"/>
      <c r="B167" s="108"/>
      <c r="C167" s="167"/>
      <c r="D167" s="167"/>
      <c r="E167" s="167"/>
      <c r="F167" s="167"/>
      <c r="G167" s="167"/>
      <c r="H167" s="167"/>
      <c r="I167" s="167"/>
      <c r="J167" s="167"/>
      <c r="K167" s="167"/>
      <c r="L167" s="167"/>
      <c r="M167" s="108"/>
      <c r="N167" s="108"/>
      <c r="O167" s="108"/>
      <c r="P167" s="111"/>
      <c r="Q167" s="108"/>
      <c r="R167" s="110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10"/>
    </row>
    <row r="168">
      <c r="A168" s="108"/>
      <c r="B168" s="108"/>
      <c r="C168" s="167"/>
      <c r="D168" s="167"/>
      <c r="E168" s="167"/>
      <c r="F168" s="167"/>
      <c r="G168" s="167"/>
      <c r="H168" s="167"/>
      <c r="I168" s="167"/>
      <c r="J168" s="167"/>
      <c r="K168" s="167"/>
      <c r="L168" s="167"/>
      <c r="M168" s="108"/>
      <c r="N168" s="108"/>
      <c r="O168" s="108"/>
      <c r="P168" s="111"/>
      <c r="Q168" s="108"/>
      <c r="R168" s="110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10"/>
    </row>
    <row r="169">
      <c r="A169" s="108"/>
      <c r="B169" s="108"/>
      <c r="C169" s="167"/>
      <c r="D169" s="167"/>
      <c r="E169" s="167"/>
      <c r="F169" s="167"/>
      <c r="G169" s="167"/>
      <c r="H169" s="167"/>
      <c r="I169" s="167"/>
      <c r="J169" s="167"/>
      <c r="K169" s="167"/>
      <c r="L169" s="167"/>
      <c r="M169" s="108"/>
      <c r="N169" s="108"/>
      <c r="O169" s="108"/>
      <c r="P169" s="111"/>
      <c r="Q169" s="108"/>
      <c r="R169" s="110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10"/>
    </row>
    <row r="170">
      <c r="A170" s="108"/>
      <c r="B170" s="108"/>
      <c r="C170" s="167"/>
      <c r="D170" s="167"/>
      <c r="E170" s="167"/>
      <c r="F170" s="167"/>
      <c r="G170" s="167"/>
      <c r="H170" s="167"/>
      <c r="I170" s="167"/>
      <c r="J170" s="167"/>
      <c r="K170" s="167"/>
      <c r="L170" s="167"/>
      <c r="M170" s="108"/>
      <c r="N170" s="108"/>
      <c r="O170" s="108"/>
      <c r="P170" s="111"/>
      <c r="Q170" s="108"/>
      <c r="R170" s="110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10"/>
    </row>
    <row r="171">
      <c r="A171" s="108"/>
      <c r="B171" s="108"/>
      <c r="C171" s="167"/>
      <c r="D171" s="167"/>
      <c r="E171" s="167"/>
      <c r="F171" s="167"/>
      <c r="G171" s="167"/>
      <c r="H171" s="167"/>
      <c r="I171" s="167"/>
      <c r="J171" s="167"/>
      <c r="K171" s="167"/>
      <c r="L171" s="167"/>
      <c r="M171" s="108"/>
      <c r="N171" s="108"/>
      <c r="O171" s="108"/>
      <c r="P171" s="111"/>
      <c r="Q171" s="108"/>
      <c r="R171" s="110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10"/>
    </row>
    <row r="172">
      <c r="A172" s="108"/>
      <c r="B172" s="108"/>
      <c r="C172" s="167"/>
      <c r="D172" s="167"/>
      <c r="E172" s="167"/>
      <c r="F172" s="167"/>
      <c r="G172" s="167"/>
      <c r="H172" s="167"/>
      <c r="I172" s="167"/>
      <c r="J172" s="167"/>
      <c r="K172" s="167"/>
      <c r="L172" s="167"/>
      <c r="M172" s="108"/>
      <c r="N172" s="108"/>
      <c r="O172" s="108"/>
      <c r="P172" s="111"/>
      <c r="Q172" s="108"/>
      <c r="R172" s="110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10"/>
    </row>
    <row r="173">
      <c r="A173" s="108"/>
      <c r="B173" s="108"/>
      <c r="C173" s="167"/>
      <c r="D173" s="167"/>
      <c r="E173" s="167"/>
      <c r="F173" s="167"/>
      <c r="G173" s="167"/>
      <c r="H173" s="167"/>
      <c r="I173" s="167"/>
      <c r="J173" s="167"/>
      <c r="K173" s="167"/>
      <c r="L173" s="167"/>
      <c r="M173" s="108"/>
      <c r="N173" s="108"/>
      <c r="O173" s="108"/>
      <c r="P173" s="111"/>
      <c r="Q173" s="108"/>
      <c r="R173" s="110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10"/>
    </row>
    <row r="174">
      <c r="A174" s="108"/>
      <c r="B174" s="108"/>
      <c r="C174" s="167"/>
      <c r="D174" s="167"/>
      <c r="E174" s="167"/>
      <c r="F174" s="167"/>
      <c r="G174" s="167"/>
      <c r="H174" s="167"/>
      <c r="I174" s="167"/>
      <c r="J174" s="167"/>
      <c r="K174" s="167"/>
      <c r="L174" s="167"/>
      <c r="M174" s="108"/>
      <c r="N174" s="108"/>
      <c r="O174" s="108"/>
      <c r="P174" s="111"/>
      <c r="Q174" s="108"/>
      <c r="R174" s="110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10"/>
    </row>
    <row r="175">
      <c r="A175" s="108"/>
      <c r="B175" s="108"/>
      <c r="C175" s="167"/>
      <c r="D175" s="167"/>
      <c r="E175" s="167"/>
      <c r="F175" s="167"/>
      <c r="G175" s="167"/>
      <c r="H175" s="167"/>
      <c r="I175" s="167"/>
      <c r="J175" s="167"/>
      <c r="K175" s="167"/>
      <c r="L175" s="167"/>
      <c r="M175" s="108"/>
      <c r="N175" s="108"/>
      <c r="O175" s="108"/>
      <c r="P175" s="111"/>
      <c r="Q175" s="108"/>
      <c r="R175" s="110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10"/>
    </row>
    <row r="176">
      <c r="A176" s="108"/>
      <c r="B176" s="108"/>
      <c r="C176" s="167"/>
      <c r="D176" s="167"/>
      <c r="E176" s="167"/>
      <c r="F176" s="167"/>
      <c r="G176" s="167"/>
      <c r="H176" s="167"/>
      <c r="I176" s="167"/>
      <c r="J176" s="167"/>
      <c r="K176" s="167"/>
      <c r="L176" s="167"/>
      <c r="M176" s="108"/>
      <c r="N176" s="108"/>
      <c r="O176" s="108"/>
      <c r="P176" s="111"/>
      <c r="Q176" s="108"/>
      <c r="R176" s="110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10"/>
    </row>
    <row r="177">
      <c r="A177" s="108"/>
      <c r="B177" s="108"/>
      <c r="C177" s="167"/>
      <c r="D177" s="167"/>
      <c r="E177" s="167"/>
      <c r="F177" s="167"/>
      <c r="G177" s="167"/>
      <c r="H177" s="167"/>
      <c r="I177" s="167"/>
      <c r="J177" s="167"/>
      <c r="K177" s="167"/>
      <c r="L177" s="167"/>
      <c r="M177" s="108"/>
      <c r="N177" s="108"/>
      <c r="O177" s="108"/>
      <c r="P177" s="111"/>
      <c r="Q177" s="108"/>
      <c r="R177" s="110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10"/>
    </row>
    <row r="178">
      <c r="A178" s="108"/>
      <c r="B178" s="108"/>
      <c r="C178" s="167"/>
      <c r="D178" s="167"/>
      <c r="E178" s="167"/>
      <c r="F178" s="167"/>
      <c r="G178" s="167"/>
      <c r="H178" s="167"/>
      <c r="I178" s="167"/>
      <c r="J178" s="167"/>
      <c r="K178" s="167"/>
      <c r="L178" s="167"/>
      <c r="M178" s="108"/>
      <c r="N178" s="108"/>
      <c r="O178" s="108"/>
      <c r="P178" s="111"/>
      <c r="Q178" s="108"/>
      <c r="R178" s="110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10"/>
    </row>
    <row r="179">
      <c r="A179" s="108"/>
      <c r="B179" s="108"/>
      <c r="C179" s="167"/>
      <c r="D179" s="167"/>
      <c r="E179" s="167"/>
      <c r="F179" s="167"/>
      <c r="G179" s="167"/>
      <c r="H179" s="167"/>
      <c r="I179" s="167"/>
      <c r="J179" s="167"/>
      <c r="K179" s="167"/>
      <c r="L179" s="167"/>
      <c r="M179" s="108"/>
      <c r="N179" s="108"/>
      <c r="O179" s="108"/>
      <c r="P179" s="111"/>
      <c r="Q179" s="108"/>
      <c r="R179" s="110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10"/>
    </row>
    <row r="180">
      <c r="A180" s="108"/>
      <c r="B180" s="108"/>
      <c r="C180" s="167"/>
      <c r="D180" s="167"/>
      <c r="E180" s="167"/>
      <c r="F180" s="167"/>
      <c r="G180" s="167"/>
      <c r="H180" s="167"/>
      <c r="I180" s="167"/>
      <c r="J180" s="167"/>
      <c r="K180" s="167"/>
      <c r="L180" s="167"/>
      <c r="M180" s="108"/>
      <c r="N180" s="108"/>
      <c r="O180" s="108"/>
      <c r="P180" s="111"/>
      <c r="Q180" s="108"/>
      <c r="R180" s="110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10"/>
    </row>
    <row r="181">
      <c r="A181" s="108"/>
      <c r="B181" s="108"/>
      <c r="C181" s="167"/>
      <c r="D181" s="167"/>
      <c r="E181" s="167"/>
      <c r="F181" s="167"/>
      <c r="G181" s="167"/>
      <c r="H181" s="167"/>
      <c r="I181" s="167"/>
      <c r="J181" s="167"/>
      <c r="K181" s="167"/>
      <c r="L181" s="167"/>
      <c r="M181" s="108"/>
      <c r="N181" s="108"/>
      <c r="O181" s="108"/>
      <c r="P181" s="111"/>
      <c r="Q181" s="108"/>
      <c r="R181" s="110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10"/>
    </row>
    <row r="182">
      <c r="A182" s="108"/>
      <c r="B182" s="108"/>
      <c r="C182" s="167"/>
      <c r="D182" s="167"/>
      <c r="E182" s="167"/>
      <c r="F182" s="167"/>
      <c r="G182" s="167"/>
      <c r="H182" s="167"/>
      <c r="I182" s="167"/>
      <c r="J182" s="167"/>
      <c r="K182" s="167"/>
      <c r="L182" s="167"/>
      <c r="M182" s="108"/>
      <c r="N182" s="108"/>
      <c r="O182" s="108"/>
      <c r="P182" s="111"/>
      <c r="Q182" s="108"/>
      <c r="R182" s="110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10"/>
    </row>
    <row r="183">
      <c r="A183" s="108"/>
      <c r="B183" s="108"/>
      <c r="C183" s="167"/>
      <c r="D183" s="167"/>
      <c r="E183" s="167"/>
      <c r="F183" s="167"/>
      <c r="G183" s="167"/>
      <c r="H183" s="167"/>
      <c r="I183" s="167"/>
      <c r="J183" s="167"/>
      <c r="K183" s="167"/>
      <c r="L183" s="167"/>
      <c r="M183" s="108"/>
      <c r="N183" s="108"/>
      <c r="O183" s="108"/>
      <c r="P183" s="111"/>
      <c r="Q183" s="108"/>
      <c r="R183" s="110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10"/>
    </row>
    <row r="184">
      <c r="A184" s="108"/>
      <c r="B184" s="108"/>
      <c r="C184" s="167"/>
      <c r="D184" s="167"/>
      <c r="E184" s="167"/>
      <c r="F184" s="167"/>
      <c r="G184" s="167"/>
      <c r="H184" s="167"/>
      <c r="I184" s="167"/>
      <c r="J184" s="167"/>
      <c r="K184" s="167"/>
      <c r="L184" s="167"/>
      <c r="M184" s="108"/>
      <c r="N184" s="108"/>
      <c r="O184" s="108"/>
      <c r="P184" s="111"/>
      <c r="Q184" s="108"/>
      <c r="R184" s="110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10"/>
    </row>
    <row r="185">
      <c r="A185" s="108"/>
      <c r="B185" s="108"/>
      <c r="C185" s="167"/>
      <c r="D185" s="167"/>
      <c r="E185" s="167"/>
      <c r="F185" s="167"/>
      <c r="G185" s="167"/>
      <c r="H185" s="167"/>
      <c r="I185" s="167"/>
      <c r="J185" s="167"/>
      <c r="K185" s="167"/>
      <c r="L185" s="167"/>
      <c r="M185" s="108"/>
      <c r="N185" s="108"/>
      <c r="O185" s="108"/>
      <c r="P185" s="111"/>
      <c r="Q185" s="108"/>
      <c r="R185" s="110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10"/>
    </row>
    <row r="186">
      <c r="A186" s="108"/>
      <c r="B186" s="108"/>
      <c r="C186" s="167"/>
      <c r="D186" s="167"/>
      <c r="E186" s="167"/>
      <c r="F186" s="167"/>
      <c r="G186" s="167"/>
      <c r="H186" s="167"/>
      <c r="I186" s="167"/>
      <c r="J186" s="167"/>
      <c r="K186" s="167"/>
      <c r="L186" s="167"/>
      <c r="M186" s="108"/>
      <c r="N186" s="108"/>
      <c r="O186" s="108"/>
      <c r="P186" s="111"/>
      <c r="Q186" s="108"/>
      <c r="R186" s="110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10"/>
    </row>
    <row r="187">
      <c r="A187" s="108"/>
      <c r="B187" s="108"/>
      <c r="C187" s="167"/>
      <c r="D187" s="167"/>
      <c r="E187" s="167"/>
      <c r="F187" s="167"/>
      <c r="G187" s="167"/>
      <c r="H187" s="167"/>
      <c r="I187" s="167"/>
      <c r="J187" s="167"/>
      <c r="K187" s="167"/>
      <c r="L187" s="167"/>
      <c r="M187" s="108"/>
      <c r="N187" s="108"/>
      <c r="O187" s="108"/>
      <c r="P187" s="111"/>
      <c r="Q187" s="108"/>
      <c r="R187" s="110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10"/>
    </row>
    <row r="188">
      <c r="A188" s="108"/>
      <c r="B188" s="108"/>
      <c r="C188" s="167"/>
      <c r="D188" s="167"/>
      <c r="E188" s="167"/>
      <c r="F188" s="167"/>
      <c r="G188" s="167"/>
      <c r="H188" s="167"/>
      <c r="I188" s="167"/>
      <c r="J188" s="167"/>
      <c r="K188" s="167"/>
      <c r="L188" s="167"/>
      <c r="M188" s="108"/>
      <c r="N188" s="108"/>
      <c r="O188" s="108"/>
      <c r="P188" s="111"/>
      <c r="Q188" s="108"/>
      <c r="R188" s="110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10"/>
    </row>
    <row r="189">
      <c r="A189" s="108"/>
      <c r="B189" s="108"/>
      <c r="C189" s="167"/>
      <c r="D189" s="167"/>
      <c r="E189" s="167"/>
      <c r="F189" s="167"/>
      <c r="G189" s="167"/>
      <c r="H189" s="167"/>
      <c r="I189" s="167"/>
      <c r="J189" s="167"/>
      <c r="K189" s="167"/>
      <c r="L189" s="167"/>
      <c r="M189" s="108"/>
      <c r="N189" s="108"/>
      <c r="O189" s="108"/>
      <c r="P189" s="111"/>
      <c r="Q189" s="108"/>
      <c r="R189" s="110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10"/>
    </row>
    <row r="190">
      <c r="A190" s="108"/>
      <c r="B190" s="108"/>
      <c r="C190" s="167"/>
      <c r="D190" s="167"/>
      <c r="E190" s="167"/>
      <c r="F190" s="167"/>
      <c r="G190" s="167"/>
      <c r="H190" s="167"/>
      <c r="I190" s="167"/>
      <c r="J190" s="167"/>
      <c r="K190" s="167"/>
      <c r="L190" s="167"/>
      <c r="M190" s="108"/>
      <c r="N190" s="108"/>
      <c r="O190" s="108"/>
      <c r="P190" s="111"/>
      <c r="Q190" s="108"/>
      <c r="R190" s="110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10"/>
    </row>
    <row r="191">
      <c r="A191" s="108"/>
      <c r="B191" s="108"/>
      <c r="C191" s="167"/>
      <c r="D191" s="167"/>
      <c r="E191" s="167"/>
      <c r="F191" s="167"/>
      <c r="G191" s="167"/>
      <c r="H191" s="167"/>
      <c r="I191" s="167"/>
      <c r="J191" s="167"/>
      <c r="K191" s="167"/>
      <c r="L191" s="167"/>
      <c r="M191" s="108"/>
      <c r="N191" s="108"/>
      <c r="O191" s="108"/>
      <c r="P191" s="111"/>
      <c r="Q191" s="108"/>
      <c r="R191" s="110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10"/>
    </row>
    <row r="192">
      <c r="A192" s="108"/>
      <c r="B192" s="108"/>
      <c r="C192" s="167"/>
      <c r="D192" s="167"/>
      <c r="E192" s="167"/>
      <c r="F192" s="167"/>
      <c r="G192" s="167"/>
      <c r="H192" s="167"/>
      <c r="I192" s="167"/>
      <c r="J192" s="167"/>
      <c r="K192" s="167"/>
      <c r="L192" s="167"/>
      <c r="M192" s="108"/>
      <c r="N192" s="108"/>
      <c r="O192" s="108"/>
      <c r="P192" s="111"/>
      <c r="Q192" s="108"/>
      <c r="R192" s="110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10"/>
    </row>
    <row r="193">
      <c r="A193" s="108"/>
      <c r="B193" s="108"/>
      <c r="C193" s="167"/>
      <c r="D193" s="167"/>
      <c r="E193" s="167"/>
      <c r="F193" s="167"/>
      <c r="G193" s="167"/>
      <c r="H193" s="167"/>
      <c r="I193" s="167"/>
      <c r="J193" s="167"/>
      <c r="K193" s="167"/>
      <c r="L193" s="167"/>
      <c r="M193" s="108"/>
      <c r="N193" s="108"/>
      <c r="O193" s="108"/>
      <c r="P193" s="111"/>
      <c r="Q193" s="108"/>
      <c r="R193" s="110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10"/>
    </row>
    <row r="194">
      <c r="A194" s="108"/>
      <c r="B194" s="108"/>
      <c r="C194" s="167"/>
      <c r="D194" s="167"/>
      <c r="E194" s="167"/>
      <c r="F194" s="167"/>
      <c r="G194" s="167"/>
      <c r="H194" s="167"/>
      <c r="I194" s="167"/>
      <c r="J194" s="167"/>
      <c r="K194" s="167"/>
      <c r="L194" s="167"/>
      <c r="M194" s="108"/>
      <c r="N194" s="108"/>
      <c r="O194" s="108"/>
      <c r="P194" s="111"/>
      <c r="Q194" s="108"/>
      <c r="R194" s="110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10"/>
    </row>
    <row r="195">
      <c r="A195" s="108"/>
      <c r="B195" s="108"/>
      <c r="C195" s="167"/>
      <c r="D195" s="167"/>
      <c r="E195" s="167"/>
      <c r="F195" s="167"/>
      <c r="G195" s="167"/>
      <c r="H195" s="167"/>
      <c r="I195" s="167"/>
      <c r="J195" s="167"/>
      <c r="K195" s="167"/>
      <c r="L195" s="167"/>
      <c r="M195" s="108"/>
      <c r="N195" s="108"/>
      <c r="O195" s="108"/>
      <c r="P195" s="111"/>
      <c r="Q195" s="108"/>
      <c r="R195" s="110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10"/>
    </row>
    <row r="196">
      <c r="A196" s="108"/>
      <c r="B196" s="108"/>
      <c r="C196" s="167"/>
      <c r="D196" s="167"/>
      <c r="E196" s="167"/>
      <c r="F196" s="167"/>
      <c r="G196" s="167"/>
      <c r="H196" s="167"/>
      <c r="I196" s="167"/>
      <c r="J196" s="167"/>
      <c r="K196" s="167"/>
      <c r="L196" s="167"/>
      <c r="M196" s="108"/>
      <c r="N196" s="108"/>
      <c r="O196" s="108"/>
      <c r="P196" s="111"/>
      <c r="Q196" s="108"/>
      <c r="R196" s="110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10"/>
    </row>
    <row r="197">
      <c r="A197" s="108"/>
      <c r="B197" s="108"/>
      <c r="C197" s="167"/>
      <c r="D197" s="167"/>
      <c r="E197" s="167"/>
      <c r="F197" s="167"/>
      <c r="G197" s="167"/>
      <c r="H197" s="167"/>
      <c r="I197" s="167"/>
      <c r="J197" s="167"/>
      <c r="K197" s="167"/>
      <c r="L197" s="167"/>
      <c r="M197" s="108"/>
      <c r="N197" s="108"/>
      <c r="O197" s="108"/>
      <c r="P197" s="111"/>
      <c r="Q197" s="108"/>
      <c r="R197" s="110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10"/>
    </row>
    <row r="198">
      <c r="A198" s="108"/>
      <c r="B198" s="108"/>
      <c r="C198" s="167"/>
      <c r="D198" s="167"/>
      <c r="E198" s="167"/>
      <c r="F198" s="167"/>
      <c r="G198" s="167"/>
      <c r="H198" s="167"/>
      <c r="I198" s="167"/>
      <c r="J198" s="167"/>
      <c r="K198" s="167"/>
      <c r="L198" s="167"/>
      <c r="M198" s="108"/>
      <c r="N198" s="108"/>
      <c r="O198" s="108"/>
      <c r="P198" s="111"/>
      <c r="Q198" s="108"/>
      <c r="R198" s="110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10"/>
    </row>
    <row r="199">
      <c r="A199" s="108"/>
      <c r="B199" s="108"/>
      <c r="C199" s="167"/>
      <c r="D199" s="167"/>
      <c r="E199" s="167"/>
      <c r="F199" s="167"/>
      <c r="G199" s="167"/>
      <c r="H199" s="167"/>
      <c r="I199" s="167"/>
      <c r="J199" s="167"/>
      <c r="K199" s="167"/>
      <c r="L199" s="167"/>
      <c r="M199" s="108"/>
      <c r="N199" s="108"/>
      <c r="O199" s="108"/>
      <c r="P199" s="111"/>
      <c r="Q199" s="108"/>
      <c r="R199" s="110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10"/>
    </row>
    <row r="200">
      <c r="A200" s="108"/>
      <c r="B200" s="108"/>
      <c r="C200" s="167"/>
      <c r="D200" s="167"/>
      <c r="E200" s="167"/>
      <c r="F200" s="167"/>
      <c r="G200" s="167"/>
      <c r="H200" s="167"/>
      <c r="I200" s="167"/>
      <c r="J200" s="167"/>
      <c r="K200" s="167"/>
      <c r="L200" s="167"/>
      <c r="M200" s="108"/>
      <c r="N200" s="108"/>
      <c r="O200" s="108"/>
      <c r="P200" s="111"/>
      <c r="Q200" s="108"/>
      <c r="R200" s="110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10"/>
    </row>
    <row r="201"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P201" s="124"/>
      <c r="R201" s="125"/>
      <c r="AC201" s="110"/>
    </row>
    <row r="202"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P202" s="124"/>
      <c r="R202" s="125"/>
      <c r="AC202" s="110"/>
    </row>
    <row r="203"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P203" s="124"/>
      <c r="R203" s="125"/>
      <c r="AC203" s="110"/>
    </row>
    <row r="204"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P204" s="124"/>
      <c r="R204" s="125"/>
      <c r="AC204" s="110"/>
    </row>
    <row r="205"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P205" s="124"/>
      <c r="R205" s="125"/>
      <c r="AC205" s="110"/>
    </row>
    <row r="206"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P206" s="124"/>
      <c r="R206" s="125"/>
      <c r="AC206" s="110"/>
    </row>
    <row r="207"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P207" s="124"/>
      <c r="R207" s="125"/>
      <c r="AC207" s="110"/>
    </row>
    <row r="208"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P208" s="124"/>
      <c r="R208" s="125"/>
      <c r="AC208" s="110"/>
    </row>
    <row r="209"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P209" s="124"/>
      <c r="R209" s="125"/>
      <c r="AC209" s="110"/>
    </row>
    <row r="210"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P210" s="124"/>
      <c r="R210" s="125"/>
      <c r="AC210" s="110"/>
    </row>
    <row r="211"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P211" s="124"/>
      <c r="R211" s="125"/>
      <c r="AC211" s="110"/>
    </row>
    <row r="212"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P212" s="124"/>
      <c r="R212" s="125"/>
      <c r="AC212" s="110"/>
    </row>
    <row r="213"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P213" s="124"/>
      <c r="R213" s="125"/>
      <c r="AC213" s="110"/>
    </row>
    <row r="214"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P214" s="124"/>
      <c r="R214" s="125"/>
      <c r="AC214" s="110"/>
    </row>
    <row r="215"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P215" s="124"/>
      <c r="R215" s="125"/>
      <c r="AC215" s="110"/>
    </row>
    <row r="216"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P216" s="124"/>
      <c r="R216" s="125"/>
      <c r="AC216" s="110"/>
    </row>
    <row r="217"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P217" s="124"/>
      <c r="R217" s="125"/>
      <c r="AC217" s="110"/>
    </row>
    <row r="218"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P218" s="124"/>
      <c r="R218" s="125"/>
      <c r="AC218" s="110"/>
    </row>
    <row r="219"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P219" s="124"/>
      <c r="R219" s="125"/>
      <c r="AC219" s="110"/>
    </row>
    <row r="220"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P220" s="124"/>
      <c r="R220" s="125"/>
      <c r="AC220" s="110"/>
    </row>
    <row r="221"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P221" s="124"/>
      <c r="R221" s="125"/>
      <c r="AC221" s="110"/>
    </row>
    <row r="222"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P222" s="124"/>
      <c r="R222" s="125"/>
      <c r="AC222" s="110"/>
    </row>
    <row r="223"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P223" s="124"/>
      <c r="R223" s="125"/>
      <c r="AC223" s="110"/>
    </row>
    <row r="224"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P224" s="124"/>
      <c r="R224" s="125"/>
      <c r="AC224" s="110"/>
    </row>
    <row r="225"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P225" s="124"/>
      <c r="R225" s="125"/>
      <c r="AC225" s="110"/>
    </row>
    <row r="226"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P226" s="124"/>
      <c r="R226" s="125"/>
      <c r="AC226" s="110"/>
    </row>
    <row r="227"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P227" s="124"/>
      <c r="R227" s="125"/>
      <c r="AC227" s="110"/>
    </row>
    <row r="228"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P228" s="124"/>
      <c r="R228" s="125"/>
      <c r="AC228" s="110"/>
    </row>
    <row r="229"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P229" s="124"/>
      <c r="R229" s="125"/>
      <c r="AC229" s="110"/>
    </row>
    <row r="230"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P230" s="124"/>
      <c r="R230" s="125"/>
      <c r="AC230" s="110"/>
    </row>
    <row r="231"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P231" s="124"/>
      <c r="R231" s="125"/>
      <c r="AC231" s="110"/>
    </row>
    <row r="232"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P232" s="124"/>
      <c r="R232" s="125"/>
      <c r="AC232" s="110"/>
    </row>
    <row r="233"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P233" s="124"/>
      <c r="R233" s="125"/>
      <c r="AC233" s="110"/>
    </row>
    <row r="234"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P234" s="124"/>
      <c r="R234" s="125"/>
      <c r="AC234" s="110"/>
    </row>
    <row r="235"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P235" s="124"/>
      <c r="R235" s="125"/>
      <c r="AC235" s="110"/>
    </row>
    <row r="236"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P236" s="124"/>
      <c r="R236" s="125"/>
      <c r="AC236" s="110"/>
    </row>
    <row r="237"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P237" s="124"/>
      <c r="R237" s="125"/>
      <c r="AC237" s="110"/>
    </row>
    <row r="238"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P238" s="124"/>
      <c r="R238" s="125"/>
      <c r="AC238" s="110"/>
    </row>
    <row r="239"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P239" s="124"/>
      <c r="R239" s="125"/>
      <c r="AC239" s="110"/>
    </row>
    <row r="240"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P240" s="124"/>
      <c r="R240" s="125"/>
      <c r="AC240" s="110"/>
    </row>
    <row r="241"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P241" s="124"/>
      <c r="R241" s="125"/>
      <c r="AC241" s="110"/>
    </row>
    <row r="242"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P242" s="124"/>
      <c r="R242" s="125"/>
      <c r="AC242" s="110"/>
    </row>
    <row r="243"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P243" s="124"/>
      <c r="R243" s="125"/>
      <c r="AC243" s="110"/>
    </row>
    <row r="244"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P244" s="124"/>
      <c r="R244" s="125"/>
      <c r="AC244" s="110"/>
    </row>
    <row r="245"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P245" s="124"/>
      <c r="R245" s="125"/>
      <c r="AC245" s="110"/>
    </row>
    <row r="246"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P246" s="124"/>
      <c r="R246" s="125"/>
      <c r="AC246" s="110"/>
    </row>
    <row r="247"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P247" s="124"/>
      <c r="R247" s="125"/>
      <c r="AC247" s="110"/>
    </row>
    <row r="248"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P248" s="124"/>
      <c r="R248" s="125"/>
      <c r="AC248" s="110"/>
    </row>
    <row r="249"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P249" s="124"/>
      <c r="R249" s="125"/>
      <c r="AC249" s="110"/>
    </row>
    <row r="250"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P250" s="124"/>
      <c r="R250" s="125"/>
      <c r="AC250" s="110"/>
    </row>
    <row r="251"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P251" s="124"/>
      <c r="R251" s="125"/>
      <c r="AC251" s="110"/>
    </row>
    <row r="252"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P252" s="124"/>
      <c r="R252" s="125"/>
      <c r="AC252" s="110"/>
    </row>
    <row r="253"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P253" s="124"/>
      <c r="R253" s="125"/>
      <c r="AC253" s="110"/>
    </row>
    <row r="254"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P254" s="124"/>
      <c r="R254" s="125"/>
      <c r="AC254" s="110"/>
    </row>
    <row r="255"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P255" s="124"/>
      <c r="R255" s="125"/>
      <c r="AC255" s="110"/>
    </row>
    <row r="256"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P256" s="124"/>
      <c r="R256" s="125"/>
      <c r="AC256" s="110"/>
    </row>
    <row r="257"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P257" s="124"/>
      <c r="R257" s="125"/>
      <c r="AC257" s="110"/>
    </row>
    <row r="258"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P258" s="124"/>
      <c r="R258" s="125"/>
      <c r="AC258" s="110"/>
    </row>
    <row r="259"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P259" s="124"/>
      <c r="R259" s="125"/>
      <c r="AC259" s="110"/>
    </row>
    <row r="260"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P260" s="124"/>
      <c r="R260" s="125"/>
      <c r="AC260" s="110"/>
    </row>
    <row r="261"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P261" s="124"/>
      <c r="R261" s="125"/>
      <c r="AC261" s="110"/>
    </row>
    <row r="262"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P262" s="124"/>
      <c r="R262" s="125"/>
      <c r="AC262" s="110"/>
    </row>
    <row r="263"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P263" s="124"/>
      <c r="R263" s="125"/>
      <c r="AC263" s="110"/>
    </row>
    <row r="264"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P264" s="124"/>
      <c r="R264" s="125"/>
      <c r="AC264" s="110"/>
    </row>
    <row r="265"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P265" s="124"/>
      <c r="R265" s="125"/>
      <c r="AC265" s="110"/>
    </row>
    <row r="266"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P266" s="124"/>
      <c r="R266" s="125"/>
      <c r="AC266" s="110"/>
    </row>
    <row r="267"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P267" s="124"/>
      <c r="R267" s="125"/>
      <c r="AC267" s="110"/>
    </row>
    <row r="268"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P268" s="124"/>
      <c r="R268" s="125"/>
      <c r="AC268" s="110"/>
    </row>
    <row r="269"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P269" s="124"/>
      <c r="R269" s="125"/>
      <c r="AC269" s="110"/>
    </row>
    <row r="270"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P270" s="124"/>
      <c r="R270" s="125"/>
      <c r="AC270" s="110"/>
    </row>
    <row r="271"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P271" s="124"/>
      <c r="R271" s="125"/>
      <c r="AC271" s="110"/>
    </row>
    <row r="272"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P272" s="124"/>
      <c r="R272" s="125"/>
      <c r="AC272" s="110"/>
    </row>
    <row r="273"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P273" s="124"/>
      <c r="R273" s="125"/>
      <c r="AC273" s="110"/>
    </row>
    <row r="274"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P274" s="124"/>
      <c r="R274" s="125"/>
      <c r="AC274" s="110"/>
    </row>
    <row r="275"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P275" s="124"/>
      <c r="R275" s="125"/>
      <c r="AC275" s="110"/>
    </row>
    <row r="276"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P276" s="124"/>
      <c r="R276" s="125"/>
      <c r="AC276" s="110"/>
    </row>
    <row r="277"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P277" s="124"/>
      <c r="R277" s="125"/>
      <c r="AC277" s="110"/>
    </row>
    <row r="278"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P278" s="124"/>
      <c r="R278" s="125"/>
      <c r="AC278" s="110"/>
    </row>
    <row r="279"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P279" s="124"/>
      <c r="R279" s="125"/>
      <c r="AC279" s="110"/>
    </row>
    <row r="280"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P280" s="124"/>
      <c r="R280" s="125"/>
      <c r="AC280" s="110"/>
    </row>
    <row r="281"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P281" s="124"/>
      <c r="R281" s="125"/>
      <c r="AC281" s="110"/>
    </row>
    <row r="282"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P282" s="124"/>
      <c r="R282" s="125"/>
      <c r="AC282" s="110"/>
    </row>
    <row r="283"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P283" s="124"/>
      <c r="R283" s="125"/>
      <c r="AC283" s="110"/>
    </row>
    <row r="284"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P284" s="124"/>
      <c r="R284" s="125"/>
      <c r="AC284" s="110"/>
    </row>
    <row r="285"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P285" s="124"/>
      <c r="R285" s="125"/>
      <c r="AC285" s="110"/>
    </row>
    <row r="286"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P286" s="124"/>
      <c r="R286" s="125"/>
      <c r="AC286" s="110"/>
    </row>
    <row r="287"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P287" s="124"/>
      <c r="R287" s="125"/>
      <c r="AC287" s="110"/>
    </row>
    <row r="288"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P288" s="124"/>
      <c r="R288" s="125"/>
      <c r="AC288" s="110"/>
    </row>
    <row r="289"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P289" s="124"/>
      <c r="R289" s="125"/>
      <c r="AC289" s="110"/>
    </row>
    <row r="290"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P290" s="124"/>
      <c r="R290" s="125"/>
      <c r="AC290" s="110"/>
    </row>
    <row r="291"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P291" s="124"/>
      <c r="R291" s="125"/>
      <c r="AC291" s="110"/>
    </row>
    <row r="292"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P292" s="124"/>
      <c r="R292" s="125"/>
      <c r="AC292" s="110"/>
    </row>
    <row r="293"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P293" s="124"/>
      <c r="R293" s="125"/>
      <c r="AC293" s="110"/>
    </row>
    <row r="294"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P294" s="124"/>
      <c r="R294" s="125"/>
      <c r="AC294" s="110"/>
    </row>
    <row r="295"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P295" s="124"/>
      <c r="R295" s="125"/>
      <c r="AC295" s="110"/>
    </row>
    <row r="296"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P296" s="124"/>
      <c r="R296" s="125"/>
      <c r="AC296" s="110"/>
    </row>
    <row r="297"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P297" s="124"/>
      <c r="R297" s="125"/>
      <c r="AC297" s="110"/>
    </row>
    <row r="298"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P298" s="124"/>
      <c r="R298" s="125"/>
      <c r="AC298" s="110"/>
    </row>
    <row r="299"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P299" s="124"/>
      <c r="R299" s="125"/>
      <c r="AC299" s="110"/>
    </row>
    <row r="300"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P300" s="124"/>
      <c r="R300" s="125"/>
      <c r="AC300" s="110"/>
    </row>
    <row r="301"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P301" s="124"/>
      <c r="R301" s="125"/>
      <c r="AC301" s="110"/>
    </row>
    <row r="302"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P302" s="124"/>
      <c r="R302" s="125"/>
      <c r="AC302" s="110"/>
    </row>
    <row r="303"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P303" s="124"/>
      <c r="R303" s="125"/>
      <c r="AC303" s="110"/>
    </row>
    <row r="304"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P304" s="124"/>
      <c r="R304" s="125"/>
      <c r="AC304" s="110"/>
    </row>
    <row r="305"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P305" s="124"/>
      <c r="R305" s="125"/>
      <c r="AC305" s="110"/>
    </row>
    <row r="306"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P306" s="124"/>
      <c r="R306" s="125"/>
      <c r="AC306" s="110"/>
    </row>
    <row r="307"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P307" s="124"/>
      <c r="R307" s="125"/>
      <c r="AC307" s="110"/>
    </row>
    <row r="308"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P308" s="124"/>
      <c r="R308" s="125"/>
      <c r="AC308" s="110"/>
    </row>
    <row r="309"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P309" s="124"/>
      <c r="R309" s="125"/>
      <c r="AC309" s="110"/>
    </row>
    <row r="310"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P310" s="124"/>
      <c r="R310" s="125"/>
      <c r="AC310" s="110"/>
    </row>
    <row r="311"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P311" s="124"/>
      <c r="R311" s="125"/>
      <c r="AC311" s="110"/>
    </row>
    <row r="312"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P312" s="124"/>
      <c r="R312" s="125"/>
      <c r="AC312" s="110"/>
    </row>
    <row r="313"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P313" s="124"/>
      <c r="R313" s="125"/>
      <c r="AC313" s="110"/>
    </row>
    <row r="314"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P314" s="124"/>
      <c r="R314" s="125"/>
      <c r="AC314" s="110"/>
    </row>
    <row r="315"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P315" s="124"/>
      <c r="R315" s="125"/>
      <c r="AC315" s="110"/>
    </row>
    <row r="316"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P316" s="124"/>
      <c r="R316" s="125"/>
      <c r="AC316" s="110"/>
    </row>
    <row r="317"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P317" s="124"/>
      <c r="R317" s="125"/>
      <c r="AC317" s="110"/>
    </row>
    <row r="318"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P318" s="124"/>
      <c r="R318" s="125"/>
      <c r="AC318" s="110"/>
    </row>
    <row r="319"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P319" s="124"/>
      <c r="R319" s="125"/>
      <c r="AC319" s="110"/>
    </row>
    <row r="320"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P320" s="124"/>
      <c r="R320" s="125"/>
      <c r="AC320" s="110"/>
    </row>
    <row r="321"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P321" s="124"/>
      <c r="R321" s="125"/>
      <c r="AC321" s="110"/>
    </row>
    <row r="322"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P322" s="124"/>
      <c r="R322" s="125"/>
      <c r="AC322" s="110"/>
    </row>
    <row r="323"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P323" s="124"/>
      <c r="R323" s="125"/>
      <c r="AC323" s="110"/>
    </row>
    <row r="324"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P324" s="124"/>
      <c r="R324" s="125"/>
      <c r="AC324" s="110"/>
    </row>
    <row r="325"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P325" s="124"/>
      <c r="R325" s="125"/>
      <c r="AC325" s="110"/>
    </row>
    <row r="326"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P326" s="124"/>
      <c r="R326" s="125"/>
      <c r="AC326" s="110"/>
    </row>
    <row r="327"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P327" s="124"/>
      <c r="R327" s="125"/>
      <c r="AC327" s="110"/>
    </row>
    <row r="328"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P328" s="124"/>
      <c r="R328" s="125"/>
      <c r="AC328" s="110"/>
    </row>
    <row r="329"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P329" s="124"/>
      <c r="R329" s="125"/>
      <c r="AC329" s="110"/>
    </row>
    <row r="330"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P330" s="124"/>
      <c r="R330" s="125"/>
      <c r="AC330" s="110"/>
    </row>
    <row r="331"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P331" s="124"/>
      <c r="R331" s="125"/>
      <c r="AC331" s="110"/>
    </row>
    <row r="332"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P332" s="124"/>
      <c r="R332" s="125"/>
      <c r="AC332" s="110"/>
    </row>
    <row r="333"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P333" s="124"/>
      <c r="R333" s="125"/>
      <c r="AC333" s="110"/>
    </row>
    <row r="334"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P334" s="124"/>
      <c r="R334" s="125"/>
      <c r="AC334" s="110"/>
    </row>
    <row r="335"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P335" s="124"/>
      <c r="R335" s="125"/>
      <c r="AC335" s="110"/>
    </row>
    <row r="336"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P336" s="124"/>
      <c r="R336" s="125"/>
      <c r="AC336" s="110"/>
    </row>
    <row r="337"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P337" s="124"/>
      <c r="R337" s="125"/>
      <c r="AC337" s="110"/>
    </row>
    <row r="338"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P338" s="124"/>
      <c r="R338" s="125"/>
      <c r="AC338" s="110"/>
    </row>
    <row r="339"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P339" s="124"/>
      <c r="R339" s="125"/>
      <c r="AC339" s="110"/>
    </row>
    <row r="340"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P340" s="124"/>
      <c r="R340" s="125"/>
      <c r="AC340" s="110"/>
    </row>
    <row r="341"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P341" s="124"/>
      <c r="R341" s="125"/>
      <c r="AC341" s="110"/>
    </row>
    <row r="342"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P342" s="124"/>
      <c r="R342" s="125"/>
      <c r="AC342" s="110"/>
    </row>
    <row r="343"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P343" s="124"/>
      <c r="R343" s="125"/>
      <c r="AC343" s="110"/>
    </row>
    <row r="344"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P344" s="124"/>
      <c r="R344" s="125"/>
      <c r="AC344" s="110"/>
    </row>
    <row r="345"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P345" s="124"/>
      <c r="R345" s="125"/>
      <c r="AC345" s="110"/>
    </row>
    <row r="346"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P346" s="124"/>
      <c r="R346" s="125"/>
      <c r="AC346" s="110"/>
    </row>
    <row r="347"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P347" s="124"/>
      <c r="R347" s="125"/>
      <c r="AC347" s="110"/>
    </row>
    <row r="348"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P348" s="124"/>
      <c r="R348" s="125"/>
      <c r="AC348" s="110"/>
    </row>
    <row r="349"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P349" s="124"/>
      <c r="R349" s="125"/>
      <c r="AC349" s="110"/>
    </row>
    <row r="350"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P350" s="124"/>
      <c r="R350" s="125"/>
      <c r="AC350" s="110"/>
    </row>
    <row r="351"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P351" s="124"/>
      <c r="R351" s="125"/>
      <c r="AC351" s="110"/>
    </row>
    <row r="352"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P352" s="124"/>
      <c r="R352" s="125"/>
      <c r="AC352" s="110"/>
    </row>
    <row r="353"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P353" s="124"/>
      <c r="R353" s="125"/>
      <c r="AC353" s="110"/>
    </row>
    <row r="354"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P354" s="124"/>
      <c r="R354" s="125"/>
      <c r="AC354" s="110"/>
    </row>
    <row r="355"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P355" s="124"/>
      <c r="R355" s="125"/>
      <c r="AC355" s="110"/>
    </row>
    <row r="356"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P356" s="124"/>
      <c r="R356" s="125"/>
      <c r="AC356" s="110"/>
    </row>
    <row r="357"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P357" s="124"/>
      <c r="R357" s="125"/>
      <c r="AC357" s="110"/>
    </row>
    <row r="358"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P358" s="124"/>
      <c r="R358" s="125"/>
      <c r="AC358" s="110"/>
    </row>
    <row r="359"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P359" s="124"/>
      <c r="R359" s="125"/>
      <c r="AC359" s="110"/>
    </row>
    <row r="360"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P360" s="124"/>
      <c r="R360" s="125"/>
      <c r="AC360" s="110"/>
    </row>
    <row r="361"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P361" s="124"/>
      <c r="R361" s="125"/>
      <c r="AC361" s="110"/>
    </row>
    <row r="362"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P362" s="124"/>
      <c r="R362" s="125"/>
      <c r="AC362" s="110"/>
    </row>
    <row r="363"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P363" s="124"/>
      <c r="R363" s="125"/>
      <c r="AC363" s="110"/>
    </row>
    <row r="364"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P364" s="124"/>
      <c r="R364" s="125"/>
      <c r="AC364" s="110"/>
    </row>
    <row r="365"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P365" s="124"/>
      <c r="R365" s="125"/>
      <c r="AC365" s="110"/>
    </row>
    <row r="366"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P366" s="124"/>
      <c r="R366" s="125"/>
      <c r="AC366" s="110"/>
    </row>
    <row r="367"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P367" s="124"/>
      <c r="R367" s="125"/>
      <c r="AC367" s="110"/>
    </row>
    <row r="368"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P368" s="124"/>
      <c r="R368" s="125"/>
      <c r="AC368" s="110"/>
    </row>
    <row r="369"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P369" s="124"/>
      <c r="R369" s="125"/>
      <c r="AC369" s="110"/>
    </row>
    <row r="370"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P370" s="124"/>
      <c r="R370" s="125"/>
      <c r="AC370" s="110"/>
    </row>
    <row r="371"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P371" s="124"/>
      <c r="R371" s="125"/>
      <c r="AC371" s="110"/>
    </row>
    <row r="372"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P372" s="124"/>
      <c r="R372" s="125"/>
      <c r="AC372" s="110"/>
    </row>
    <row r="373"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P373" s="124"/>
      <c r="R373" s="125"/>
      <c r="AC373" s="110"/>
    </row>
    <row r="374"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P374" s="124"/>
      <c r="R374" s="125"/>
      <c r="AC374" s="110"/>
    </row>
    <row r="375"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P375" s="124"/>
      <c r="R375" s="125"/>
      <c r="AC375" s="110"/>
    </row>
    <row r="376"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P376" s="124"/>
      <c r="R376" s="125"/>
      <c r="AC376" s="110"/>
    </row>
    <row r="377"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P377" s="124"/>
      <c r="R377" s="125"/>
      <c r="AC377" s="110"/>
    </row>
    <row r="378"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P378" s="124"/>
      <c r="R378" s="125"/>
      <c r="AC378" s="110"/>
    </row>
    <row r="379"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P379" s="124"/>
      <c r="R379" s="125"/>
      <c r="AC379" s="110"/>
    </row>
    <row r="380"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P380" s="124"/>
      <c r="R380" s="125"/>
      <c r="AC380" s="110"/>
    </row>
    <row r="381"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P381" s="124"/>
      <c r="R381" s="125"/>
      <c r="AC381" s="110"/>
    </row>
    <row r="382"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P382" s="124"/>
      <c r="R382" s="125"/>
      <c r="AC382" s="110"/>
    </row>
    <row r="383"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P383" s="124"/>
      <c r="R383" s="125"/>
      <c r="AC383" s="110"/>
    </row>
    <row r="384"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P384" s="124"/>
      <c r="R384" s="125"/>
      <c r="AC384" s="110"/>
    </row>
    <row r="385"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P385" s="124"/>
      <c r="R385" s="125"/>
      <c r="AC385" s="110"/>
    </row>
    <row r="386"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P386" s="124"/>
      <c r="R386" s="125"/>
      <c r="AC386" s="110"/>
    </row>
    <row r="387"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P387" s="124"/>
      <c r="R387" s="125"/>
      <c r="AC387" s="110"/>
    </row>
    <row r="388"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P388" s="124"/>
      <c r="R388" s="125"/>
      <c r="AC388" s="110"/>
    </row>
    <row r="389"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P389" s="124"/>
      <c r="R389" s="125"/>
      <c r="AC389" s="110"/>
    </row>
    <row r="390"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P390" s="124"/>
      <c r="R390" s="125"/>
      <c r="AC390" s="110"/>
    </row>
    <row r="391"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P391" s="124"/>
      <c r="R391" s="125"/>
      <c r="AC391" s="110"/>
    </row>
    <row r="392"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P392" s="124"/>
      <c r="R392" s="125"/>
      <c r="AC392" s="110"/>
    </row>
    <row r="393"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P393" s="124"/>
      <c r="R393" s="125"/>
      <c r="AC393" s="110"/>
    </row>
    <row r="394"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P394" s="124"/>
      <c r="R394" s="125"/>
      <c r="AC394" s="110"/>
    </row>
    <row r="395"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P395" s="124"/>
      <c r="R395" s="125"/>
      <c r="AC395" s="110"/>
    </row>
    <row r="396"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P396" s="124"/>
      <c r="R396" s="125"/>
      <c r="AC396" s="110"/>
    </row>
    <row r="397"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P397" s="124"/>
      <c r="R397" s="125"/>
      <c r="AC397" s="110"/>
    </row>
    <row r="398"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P398" s="124"/>
      <c r="R398" s="125"/>
      <c r="AC398" s="110"/>
    </row>
    <row r="399"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P399" s="124"/>
      <c r="R399" s="125"/>
      <c r="AC399" s="110"/>
    </row>
    <row r="400"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P400" s="124"/>
      <c r="R400" s="125"/>
      <c r="AC400" s="110"/>
    </row>
    <row r="401"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P401" s="124"/>
      <c r="R401" s="125"/>
      <c r="AC401" s="110"/>
    </row>
    <row r="402"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P402" s="124"/>
      <c r="R402" s="125"/>
      <c r="AC402" s="110"/>
    </row>
    <row r="403"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P403" s="124"/>
      <c r="R403" s="125"/>
      <c r="AC403" s="110"/>
    </row>
    <row r="404"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P404" s="124"/>
      <c r="R404" s="125"/>
      <c r="AC404" s="110"/>
    </row>
    <row r="405"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P405" s="124"/>
      <c r="R405" s="125"/>
      <c r="AC405" s="110"/>
    </row>
    <row r="406"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P406" s="124"/>
      <c r="R406" s="125"/>
      <c r="AC406" s="110"/>
    </row>
    <row r="407"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P407" s="124"/>
      <c r="R407" s="125"/>
      <c r="AC407" s="110"/>
    </row>
    <row r="408"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P408" s="124"/>
      <c r="R408" s="125"/>
      <c r="AC408" s="110"/>
    </row>
    <row r="409"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P409" s="124"/>
      <c r="R409" s="125"/>
      <c r="AC409" s="110"/>
    </row>
    <row r="410"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P410" s="124"/>
      <c r="R410" s="125"/>
      <c r="AC410" s="110"/>
    </row>
    <row r="411"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P411" s="124"/>
      <c r="R411" s="125"/>
      <c r="AC411" s="110"/>
    </row>
    <row r="412"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P412" s="124"/>
      <c r="R412" s="125"/>
      <c r="AC412" s="110"/>
    </row>
    <row r="413"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P413" s="124"/>
      <c r="R413" s="125"/>
      <c r="AC413" s="110"/>
    </row>
    <row r="414"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P414" s="124"/>
      <c r="R414" s="125"/>
      <c r="AC414" s="110"/>
    </row>
    <row r="415"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P415" s="124"/>
      <c r="R415" s="125"/>
      <c r="AC415" s="110"/>
    </row>
    <row r="416"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P416" s="124"/>
      <c r="R416" s="125"/>
      <c r="AC416" s="110"/>
    </row>
    <row r="417"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P417" s="124"/>
      <c r="R417" s="125"/>
      <c r="AC417" s="110"/>
    </row>
    <row r="418"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P418" s="124"/>
      <c r="R418" s="125"/>
      <c r="AC418" s="110"/>
    </row>
    <row r="419"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P419" s="124"/>
      <c r="R419" s="125"/>
      <c r="AC419" s="110"/>
    </row>
    <row r="420"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P420" s="124"/>
      <c r="R420" s="125"/>
      <c r="AC420" s="110"/>
    </row>
    <row r="421"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P421" s="124"/>
      <c r="R421" s="125"/>
      <c r="AC421" s="110"/>
    </row>
    <row r="422"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P422" s="124"/>
      <c r="R422" s="125"/>
      <c r="AC422" s="110"/>
    </row>
    <row r="423"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P423" s="124"/>
      <c r="R423" s="125"/>
      <c r="AC423" s="110"/>
    </row>
    <row r="424"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P424" s="124"/>
      <c r="R424" s="125"/>
      <c r="AC424" s="110"/>
    </row>
    <row r="425"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P425" s="124"/>
      <c r="R425" s="125"/>
      <c r="AC425" s="110"/>
    </row>
    <row r="426"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P426" s="124"/>
      <c r="R426" s="125"/>
      <c r="AC426" s="110"/>
    </row>
    <row r="427"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P427" s="124"/>
      <c r="R427" s="125"/>
      <c r="AC427" s="110"/>
    </row>
    <row r="428"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P428" s="124"/>
      <c r="R428" s="125"/>
      <c r="AC428" s="110"/>
    </row>
    <row r="429"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P429" s="124"/>
      <c r="R429" s="125"/>
      <c r="AC429" s="110"/>
    </row>
    <row r="430"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P430" s="124"/>
      <c r="R430" s="125"/>
      <c r="AC430" s="110"/>
    </row>
    <row r="431"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P431" s="124"/>
      <c r="R431" s="125"/>
      <c r="AC431" s="110"/>
    </row>
    <row r="432"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P432" s="124"/>
      <c r="R432" s="125"/>
      <c r="AC432" s="110"/>
    </row>
    <row r="433"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P433" s="124"/>
      <c r="R433" s="125"/>
      <c r="AC433" s="110"/>
    </row>
    <row r="434"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P434" s="124"/>
      <c r="R434" s="125"/>
      <c r="AC434" s="110"/>
    </row>
    <row r="435"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P435" s="124"/>
      <c r="R435" s="125"/>
      <c r="AC435" s="110"/>
    </row>
    <row r="436"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P436" s="124"/>
      <c r="R436" s="125"/>
      <c r="AC436" s="110"/>
    </row>
    <row r="437"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P437" s="124"/>
      <c r="R437" s="125"/>
      <c r="AC437" s="110"/>
    </row>
    <row r="438"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P438" s="124"/>
      <c r="R438" s="125"/>
      <c r="AC438" s="110"/>
    </row>
    <row r="439"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P439" s="124"/>
      <c r="R439" s="125"/>
      <c r="AC439" s="110"/>
    </row>
    <row r="440"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P440" s="124"/>
      <c r="R440" s="125"/>
      <c r="AC440" s="110"/>
    </row>
    <row r="441"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P441" s="124"/>
      <c r="R441" s="125"/>
      <c r="AC441" s="110"/>
    </row>
    <row r="442"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P442" s="124"/>
      <c r="R442" s="125"/>
      <c r="AC442" s="110"/>
    </row>
    <row r="443"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P443" s="124"/>
      <c r="R443" s="125"/>
      <c r="AC443" s="110"/>
    </row>
    <row r="444"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P444" s="124"/>
      <c r="R444" s="125"/>
      <c r="AC444" s="110"/>
    </row>
    <row r="445"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P445" s="124"/>
      <c r="R445" s="125"/>
      <c r="AC445" s="110"/>
    </row>
    <row r="446"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P446" s="124"/>
      <c r="R446" s="125"/>
      <c r="AC446" s="110"/>
    </row>
    <row r="447"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P447" s="124"/>
      <c r="R447" s="125"/>
      <c r="AC447" s="110"/>
    </row>
    <row r="448"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P448" s="124"/>
      <c r="R448" s="125"/>
      <c r="AC448" s="110"/>
    </row>
    <row r="449"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P449" s="124"/>
      <c r="R449" s="125"/>
      <c r="AC449" s="110"/>
    </row>
    <row r="450"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P450" s="124"/>
      <c r="R450" s="125"/>
      <c r="AC450" s="110"/>
    </row>
    <row r="451"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P451" s="124"/>
      <c r="R451" s="125"/>
      <c r="AC451" s="110"/>
    </row>
    <row r="452"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P452" s="124"/>
      <c r="R452" s="125"/>
      <c r="AC452" s="110"/>
    </row>
    <row r="453"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P453" s="124"/>
      <c r="R453" s="125"/>
      <c r="AC453" s="110"/>
    </row>
    <row r="454"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P454" s="124"/>
      <c r="R454" s="125"/>
      <c r="AC454" s="110"/>
    </row>
    <row r="455"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P455" s="124"/>
      <c r="R455" s="125"/>
      <c r="AC455" s="110"/>
    </row>
    <row r="456"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P456" s="124"/>
      <c r="R456" s="125"/>
      <c r="AC456" s="110"/>
    </row>
    <row r="457"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P457" s="124"/>
      <c r="R457" s="125"/>
      <c r="AC457" s="110"/>
    </row>
    <row r="458"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P458" s="124"/>
      <c r="R458" s="125"/>
      <c r="AC458" s="110"/>
    </row>
    <row r="459"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P459" s="124"/>
      <c r="R459" s="125"/>
      <c r="AC459" s="110"/>
    </row>
    <row r="460"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P460" s="124"/>
      <c r="R460" s="125"/>
      <c r="AC460" s="110"/>
    </row>
    <row r="461"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P461" s="124"/>
      <c r="R461" s="125"/>
      <c r="AC461" s="110"/>
    </row>
    <row r="462"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P462" s="124"/>
      <c r="R462" s="125"/>
      <c r="AC462" s="110"/>
    </row>
    <row r="463"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P463" s="124"/>
      <c r="R463" s="125"/>
      <c r="AC463" s="110"/>
    </row>
    <row r="464"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P464" s="124"/>
      <c r="R464" s="125"/>
      <c r="AC464" s="110"/>
    </row>
    <row r="465"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P465" s="124"/>
      <c r="R465" s="125"/>
      <c r="AC465" s="110"/>
    </row>
    <row r="466"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P466" s="124"/>
      <c r="R466" s="125"/>
      <c r="AC466" s="110"/>
    </row>
    <row r="467"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P467" s="124"/>
      <c r="R467" s="125"/>
      <c r="AC467" s="110"/>
    </row>
    <row r="468"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P468" s="124"/>
      <c r="R468" s="125"/>
      <c r="AC468" s="110"/>
    </row>
    <row r="469"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P469" s="124"/>
      <c r="R469" s="125"/>
      <c r="AC469" s="110"/>
    </row>
    <row r="470"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P470" s="124"/>
      <c r="R470" s="125"/>
      <c r="AC470" s="110"/>
    </row>
    <row r="471"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P471" s="124"/>
      <c r="R471" s="125"/>
      <c r="AC471" s="110"/>
    </row>
    <row r="472"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P472" s="124"/>
      <c r="R472" s="125"/>
      <c r="AC472" s="110"/>
    </row>
    <row r="473"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P473" s="124"/>
      <c r="R473" s="125"/>
      <c r="AC473" s="110"/>
    </row>
    <row r="474"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P474" s="124"/>
      <c r="R474" s="125"/>
      <c r="AC474" s="110"/>
    </row>
    <row r="475"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P475" s="124"/>
      <c r="R475" s="125"/>
      <c r="AC475" s="110"/>
    </row>
    <row r="476"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P476" s="124"/>
      <c r="R476" s="125"/>
      <c r="AC476" s="110"/>
    </row>
    <row r="477"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P477" s="124"/>
      <c r="R477" s="125"/>
      <c r="AC477" s="110"/>
    </row>
    <row r="478"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P478" s="124"/>
      <c r="R478" s="125"/>
      <c r="AC478" s="110"/>
    </row>
    <row r="479"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P479" s="124"/>
      <c r="R479" s="125"/>
      <c r="AC479" s="110"/>
    </row>
    <row r="480"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P480" s="124"/>
      <c r="R480" s="125"/>
      <c r="AC480" s="110"/>
    </row>
    <row r="481"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P481" s="124"/>
      <c r="R481" s="125"/>
      <c r="AC481" s="110"/>
    </row>
    <row r="482"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P482" s="124"/>
      <c r="R482" s="125"/>
      <c r="AC482" s="110"/>
    </row>
    <row r="483"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P483" s="124"/>
      <c r="R483" s="125"/>
      <c r="AC483" s="110"/>
    </row>
    <row r="484"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P484" s="124"/>
      <c r="R484" s="125"/>
      <c r="AC484" s="110"/>
    </row>
    <row r="485"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P485" s="124"/>
      <c r="R485" s="125"/>
      <c r="AC485" s="110"/>
    </row>
    <row r="486"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P486" s="124"/>
      <c r="R486" s="125"/>
      <c r="AC486" s="110"/>
    </row>
    <row r="487"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P487" s="124"/>
      <c r="R487" s="125"/>
      <c r="AC487" s="110"/>
    </row>
    <row r="488"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P488" s="124"/>
      <c r="R488" s="125"/>
      <c r="AC488" s="110"/>
    </row>
    <row r="489"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P489" s="124"/>
      <c r="R489" s="125"/>
      <c r="AC489" s="110"/>
    </row>
    <row r="490"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P490" s="124"/>
      <c r="R490" s="125"/>
      <c r="AC490" s="110"/>
    </row>
    <row r="491"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P491" s="124"/>
      <c r="R491" s="125"/>
      <c r="AC491" s="110"/>
    </row>
    <row r="492"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P492" s="124"/>
      <c r="R492" s="125"/>
      <c r="AC492" s="110"/>
    </row>
    <row r="493"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P493" s="124"/>
      <c r="R493" s="125"/>
      <c r="AC493" s="110"/>
    </row>
    <row r="494"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P494" s="124"/>
      <c r="R494" s="125"/>
      <c r="AC494" s="110"/>
    </row>
    <row r="495"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P495" s="124"/>
      <c r="R495" s="125"/>
      <c r="AC495" s="110"/>
    </row>
    <row r="496"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P496" s="124"/>
      <c r="R496" s="125"/>
      <c r="AC496" s="110"/>
    </row>
    <row r="497"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P497" s="124"/>
      <c r="R497" s="125"/>
      <c r="AC497" s="110"/>
    </row>
    <row r="498"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P498" s="124"/>
      <c r="R498" s="125"/>
      <c r="AC498" s="110"/>
    </row>
    <row r="499"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P499" s="124"/>
      <c r="R499" s="125"/>
      <c r="AC499" s="110"/>
    </row>
    <row r="500"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P500" s="124"/>
      <c r="R500" s="125"/>
      <c r="AC500" s="110"/>
    </row>
    <row r="501"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P501" s="124"/>
      <c r="R501" s="125"/>
      <c r="AC501" s="110"/>
    </row>
    <row r="502"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P502" s="124"/>
      <c r="R502" s="125"/>
      <c r="AC502" s="110"/>
    </row>
    <row r="503"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P503" s="124"/>
      <c r="R503" s="125"/>
      <c r="AC503" s="110"/>
    </row>
    <row r="504"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P504" s="124"/>
      <c r="R504" s="125"/>
      <c r="AC504" s="110"/>
    </row>
    <row r="505"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P505" s="124"/>
      <c r="R505" s="125"/>
      <c r="AC505" s="110"/>
    </row>
    <row r="506"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P506" s="124"/>
      <c r="R506" s="125"/>
      <c r="AC506" s="110"/>
    </row>
    <row r="507"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P507" s="124"/>
      <c r="R507" s="125"/>
      <c r="AC507" s="110"/>
    </row>
    <row r="508"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P508" s="124"/>
      <c r="R508" s="125"/>
      <c r="AC508" s="110"/>
    </row>
    <row r="509"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P509" s="124"/>
      <c r="R509" s="125"/>
      <c r="AC509" s="110"/>
    </row>
    <row r="510"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P510" s="124"/>
      <c r="R510" s="125"/>
      <c r="AC510" s="110"/>
    </row>
    <row r="511"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P511" s="124"/>
      <c r="R511" s="125"/>
      <c r="AC511" s="110"/>
    </row>
    <row r="512"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P512" s="124"/>
      <c r="R512" s="125"/>
      <c r="AC512" s="110"/>
    </row>
    <row r="513"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P513" s="124"/>
      <c r="R513" s="125"/>
      <c r="AC513" s="110"/>
    </row>
    <row r="514"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P514" s="124"/>
      <c r="R514" s="125"/>
      <c r="AC514" s="110"/>
    </row>
    <row r="515"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P515" s="124"/>
      <c r="R515" s="125"/>
      <c r="AC515" s="110"/>
    </row>
    <row r="516"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P516" s="124"/>
      <c r="R516" s="125"/>
      <c r="AC516" s="110"/>
    </row>
    <row r="517"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P517" s="124"/>
      <c r="R517" s="125"/>
      <c r="AC517" s="110"/>
    </row>
    <row r="518"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P518" s="124"/>
      <c r="R518" s="125"/>
      <c r="AC518" s="110"/>
    </row>
    <row r="519"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P519" s="124"/>
      <c r="R519" s="125"/>
      <c r="AC519" s="110"/>
    </row>
    <row r="520"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P520" s="124"/>
      <c r="R520" s="125"/>
      <c r="AC520" s="110"/>
    </row>
    <row r="521"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P521" s="124"/>
      <c r="R521" s="125"/>
      <c r="AC521" s="110"/>
    </row>
    <row r="522"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P522" s="124"/>
      <c r="R522" s="125"/>
      <c r="AC522" s="110"/>
    </row>
    <row r="523"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P523" s="124"/>
      <c r="R523" s="125"/>
      <c r="AC523" s="110"/>
    </row>
    <row r="524"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P524" s="124"/>
      <c r="R524" s="125"/>
      <c r="AC524" s="110"/>
    </row>
    <row r="525"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P525" s="124"/>
      <c r="R525" s="125"/>
      <c r="AC525" s="110"/>
    </row>
    <row r="526"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P526" s="124"/>
      <c r="R526" s="125"/>
      <c r="AC526" s="110"/>
    </row>
    <row r="527"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P527" s="124"/>
      <c r="R527" s="125"/>
      <c r="AC527" s="110"/>
    </row>
    <row r="528"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P528" s="124"/>
      <c r="R528" s="125"/>
      <c r="AC528" s="110"/>
    </row>
    <row r="529"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P529" s="124"/>
      <c r="R529" s="125"/>
      <c r="AC529" s="110"/>
    </row>
    <row r="530"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P530" s="124"/>
      <c r="R530" s="125"/>
      <c r="AC530" s="110"/>
    </row>
    <row r="531"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P531" s="124"/>
      <c r="R531" s="125"/>
      <c r="AC531" s="110"/>
    </row>
    <row r="532"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P532" s="124"/>
      <c r="R532" s="125"/>
      <c r="AC532" s="110"/>
    </row>
    <row r="533"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P533" s="124"/>
      <c r="R533" s="125"/>
      <c r="AC533" s="110"/>
    </row>
    <row r="534"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P534" s="124"/>
      <c r="R534" s="125"/>
      <c r="AC534" s="110"/>
    </row>
    <row r="535"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P535" s="124"/>
      <c r="R535" s="125"/>
      <c r="AC535" s="110"/>
    </row>
    <row r="536"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P536" s="124"/>
      <c r="R536" s="125"/>
      <c r="AC536" s="110"/>
    </row>
    <row r="537"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P537" s="124"/>
      <c r="R537" s="125"/>
      <c r="AC537" s="110"/>
    </row>
    <row r="538"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P538" s="124"/>
      <c r="R538" s="125"/>
      <c r="AC538" s="110"/>
    </row>
    <row r="539"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P539" s="124"/>
      <c r="R539" s="125"/>
      <c r="AC539" s="110"/>
    </row>
    <row r="540"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P540" s="124"/>
      <c r="R540" s="125"/>
      <c r="AC540" s="110"/>
    </row>
    <row r="541"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P541" s="124"/>
      <c r="R541" s="125"/>
      <c r="AC541" s="110"/>
    </row>
    <row r="542"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P542" s="124"/>
      <c r="R542" s="125"/>
      <c r="AC542" s="110"/>
    </row>
    <row r="543"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P543" s="124"/>
      <c r="R543" s="125"/>
      <c r="AC543" s="110"/>
    </row>
    <row r="544"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P544" s="124"/>
      <c r="R544" s="125"/>
      <c r="AC544" s="110"/>
    </row>
    <row r="545"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P545" s="124"/>
      <c r="R545" s="125"/>
      <c r="AC545" s="110"/>
    </row>
    <row r="546"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P546" s="124"/>
      <c r="R546" s="125"/>
      <c r="AC546" s="110"/>
    </row>
    <row r="547"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P547" s="124"/>
      <c r="R547" s="125"/>
      <c r="AC547" s="110"/>
    </row>
    <row r="548"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P548" s="124"/>
      <c r="R548" s="125"/>
      <c r="AC548" s="110"/>
    </row>
    <row r="549"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P549" s="124"/>
      <c r="R549" s="125"/>
      <c r="AC549" s="110"/>
    </row>
    <row r="550"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P550" s="124"/>
      <c r="R550" s="125"/>
      <c r="AC550" s="110"/>
    </row>
    <row r="551"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P551" s="124"/>
      <c r="R551" s="125"/>
      <c r="AC551" s="110"/>
    </row>
    <row r="552"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P552" s="124"/>
      <c r="R552" s="125"/>
      <c r="AC552" s="110"/>
    </row>
    <row r="553"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P553" s="124"/>
      <c r="R553" s="125"/>
      <c r="AC553" s="110"/>
    </row>
    <row r="554"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P554" s="124"/>
      <c r="R554" s="125"/>
      <c r="AC554" s="110"/>
    </row>
    <row r="555"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P555" s="124"/>
      <c r="R555" s="125"/>
      <c r="AC555" s="110"/>
    </row>
    <row r="556"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P556" s="124"/>
      <c r="R556" s="125"/>
      <c r="AC556" s="110"/>
    </row>
    <row r="557"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P557" s="124"/>
      <c r="R557" s="125"/>
      <c r="AC557" s="110"/>
    </row>
    <row r="558"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P558" s="124"/>
      <c r="R558" s="125"/>
      <c r="AC558" s="110"/>
    </row>
    <row r="559"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P559" s="124"/>
      <c r="R559" s="125"/>
      <c r="AC559" s="110"/>
    </row>
    <row r="560"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P560" s="124"/>
      <c r="R560" s="125"/>
      <c r="AC560" s="110"/>
    </row>
    <row r="561"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P561" s="124"/>
      <c r="R561" s="125"/>
      <c r="AC561" s="110"/>
    </row>
    <row r="562"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P562" s="124"/>
      <c r="R562" s="125"/>
      <c r="AC562" s="110"/>
    </row>
    <row r="563"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P563" s="124"/>
      <c r="R563" s="125"/>
      <c r="AC563" s="110"/>
    </row>
    <row r="564"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P564" s="124"/>
      <c r="R564" s="125"/>
      <c r="AC564" s="110"/>
    </row>
    <row r="565"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P565" s="124"/>
      <c r="R565" s="125"/>
      <c r="AC565" s="110"/>
    </row>
    <row r="566"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P566" s="124"/>
      <c r="R566" s="125"/>
      <c r="AC566" s="110"/>
    </row>
    <row r="567"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P567" s="124"/>
      <c r="R567" s="125"/>
      <c r="AC567" s="110"/>
    </row>
    <row r="568"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P568" s="124"/>
      <c r="R568" s="125"/>
      <c r="AC568" s="110"/>
    </row>
    <row r="569"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P569" s="124"/>
      <c r="R569" s="125"/>
      <c r="AC569" s="110"/>
    </row>
    <row r="570"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P570" s="124"/>
      <c r="R570" s="125"/>
      <c r="AC570" s="110"/>
    </row>
    <row r="571"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P571" s="124"/>
      <c r="R571" s="125"/>
      <c r="AC571" s="110"/>
    </row>
    <row r="572"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P572" s="124"/>
      <c r="R572" s="125"/>
      <c r="AC572" s="110"/>
    </row>
    <row r="573"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P573" s="124"/>
      <c r="R573" s="125"/>
      <c r="AC573" s="110"/>
    </row>
    <row r="574"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P574" s="124"/>
      <c r="R574" s="125"/>
      <c r="AC574" s="110"/>
    </row>
    <row r="575"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P575" s="124"/>
      <c r="R575" s="125"/>
      <c r="AC575" s="110"/>
    </row>
    <row r="576"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P576" s="124"/>
      <c r="R576" s="125"/>
      <c r="AC576" s="110"/>
    </row>
    <row r="577"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P577" s="124"/>
      <c r="R577" s="125"/>
      <c r="AC577" s="110"/>
    </row>
    <row r="578"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P578" s="124"/>
      <c r="R578" s="125"/>
      <c r="AC578" s="110"/>
    </row>
    <row r="579"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P579" s="124"/>
      <c r="R579" s="125"/>
      <c r="AC579" s="110"/>
    </row>
    <row r="580"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P580" s="124"/>
      <c r="R580" s="125"/>
      <c r="AC580" s="110"/>
    </row>
    <row r="581"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P581" s="124"/>
      <c r="R581" s="125"/>
      <c r="AC581" s="110"/>
    </row>
    <row r="582"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P582" s="124"/>
      <c r="R582" s="125"/>
      <c r="AC582" s="110"/>
    </row>
    <row r="583"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P583" s="124"/>
      <c r="R583" s="125"/>
      <c r="AC583" s="110"/>
    </row>
    <row r="584"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P584" s="124"/>
      <c r="R584" s="125"/>
      <c r="AC584" s="110"/>
    </row>
    <row r="585"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P585" s="124"/>
      <c r="R585" s="125"/>
      <c r="AC585" s="110"/>
    </row>
    <row r="586"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P586" s="124"/>
      <c r="R586" s="125"/>
      <c r="AC586" s="110"/>
    </row>
    <row r="587"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P587" s="124"/>
      <c r="R587" s="125"/>
      <c r="AC587" s="110"/>
    </row>
    <row r="588"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P588" s="124"/>
      <c r="R588" s="125"/>
      <c r="AC588" s="110"/>
    </row>
    <row r="589"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P589" s="124"/>
      <c r="R589" s="125"/>
      <c r="AC589" s="110"/>
    </row>
    <row r="590"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P590" s="124"/>
      <c r="R590" s="125"/>
      <c r="AC590" s="110"/>
    </row>
    <row r="591"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P591" s="124"/>
      <c r="R591" s="125"/>
      <c r="AC591" s="110"/>
    </row>
    <row r="592"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P592" s="124"/>
      <c r="R592" s="125"/>
      <c r="AC592" s="110"/>
    </row>
    <row r="593"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P593" s="124"/>
      <c r="R593" s="125"/>
      <c r="AC593" s="110"/>
    </row>
    <row r="594"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P594" s="124"/>
      <c r="R594" s="125"/>
      <c r="AC594" s="110"/>
    </row>
    <row r="595"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P595" s="124"/>
      <c r="R595" s="125"/>
      <c r="AC595" s="110"/>
    </row>
    <row r="596"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P596" s="124"/>
      <c r="R596" s="125"/>
      <c r="AC596" s="110"/>
    </row>
    <row r="597"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P597" s="124"/>
      <c r="R597" s="125"/>
      <c r="AC597" s="110"/>
    </row>
    <row r="598"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P598" s="124"/>
      <c r="R598" s="125"/>
      <c r="AC598" s="110"/>
    </row>
    <row r="599"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P599" s="124"/>
      <c r="R599" s="125"/>
      <c r="AC599" s="110"/>
    </row>
    <row r="600"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P600" s="124"/>
      <c r="R600" s="125"/>
      <c r="AC600" s="110"/>
    </row>
    <row r="601"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P601" s="124"/>
      <c r="R601" s="125"/>
      <c r="AC601" s="110"/>
    </row>
    <row r="602"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P602" s="124"/>
      <c r="R602" s="125"/>
      <c r="AC602" s="110"/>
    </row>
    <row r="603"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P603" s="124"/>
      <c r="R603" s="125"/>
      <c r="AC603" s="110"/>
    </row>
    <row r="604"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P604" s="124"/>
      <c r="R604" s="125"/>
      <c r="AC604" s="110"/>
    </row>
    <row r="605"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P605" s="124"/>
      <c r="R605" s="125"/>
      <c r="AC605" s="110"/>
    </row>
    <row r="606"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P606" s="124"/>
      <c r="R606" s="125"/>
      <c r="AC606" s="110"/>
    </row>
    <row r="607"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P607" s="124"/>
      <c r="R607" s="125"/>
      <c r="AC607" s="110"/>
    </row>
    <row r="608"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P608" s="124"/>
      <c r="R608" s="125"/>
      <c r="AC608" s="110"/>
    </row>
    <row r="609"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P609" s="124"/>
      <c r="R609" s="125"/>
      <c r="AC609" s="110"/>
    </row>
    <row r="610"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P610" s="124"/>
      <c r="R610" s="125"/>
      <c r="AC610" s="110"/>
    </row>
    <row r="611"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P611" s="124"/>
      <c r="R611" s="125"/>
      <c r="AC611" s="110"/>
    </row>
    <row r="612"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P612" s="124"/>
      <c r="R612" s="125"/>
      <c r="AC612" s="110"/>
    </row>
    <row r="613"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P613" s="124"/>
      <c r="R613" s="125"/>
      <c r="AC613" s="110"/>
    </row>
    <row r="614"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P614" s="124"/>
      <c r="R614" s="125"/>
      <c r="AC614" s="110"/>
    </row>
    <row r="615"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P615" s="124"/>
      <c r="R615" s="125"/>
      <c r="AC615" s="110"/>
    </row>
    <row r="616"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P616" s="124"/>
      <c r="R616" s="125"/>
      <c r="AC616" s="110"/>
    </row>
    <row r="617"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P617" s="124"/>
      <c r="R617" s="125"/>
      <c r="AC617" s="110"/>
    </row>
    <row r="618"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P618" s="124"/>
      <c r="R618" s="125"/>
      <c r="AC618" s="110"/>
    </row>
    <row r="619"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P619" s="124"/>
      <c r="R619" s="125"/>
      <c r="AC619" s="110"/>
    </row>
    <row r="620"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P620" s="124"/>
      <c r="R620" s="125"/>
      <c r="AC620" s="110"/>
    </row>
    <row r="621"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P621" s="124"/>
      <c r="R621" s="125"/>
      <c r="AC621" s="110"/>
    </row>
    <row r="622"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P622" s="124"/>
      <c r="R622" s="125"/>
      <c r="AC622" s="110"/>
    </row>
    <row r="623"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P623" s="124"/>
      <c r="R623" s="125"/>
      <c r="AC623" s="110"/>
    </row>
    <row r="624"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P624" s="124"/>
      <c r="R624" s="125"/>
      <c r="AC624" s="110"/>
    </row>
    <row r="625"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P625" s="124"/>
      <c r="R625" s="125"/>
      <c r="AC625" s="110"/>
    </row>
    <row r="626"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P626" s="124"/>
      <c r="R626" s="125"/>
      <c r="AC626" s="110"/>
    </row>
    <row r="627"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P627" s="124"/>
      <c r="R627" s="125"/>
      <c r="AC627" s="110"/>
    </row>
    <row r="628"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P628" s="124"/>
      <c r="R628" s="125"/>
      <c r="AC628" s="110"/>
    </row>
    <row r="629"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P629" s="124"/>
      <c r="R629" s="125"/>
      <c r="AC629" s="110"/>
    </row>
    <row r="630"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P630" s="124"/>
      <c r="R630" s="125"/>
      <c r="AC630" s="110"/>
    </row>
    <row r="631"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P631" s="124"/>
      <c r="R631" s="125"/>
      <c r="AC631" s="110"/>
    </row>
    <row r="632"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P632" s="124"/>
      <c r="R632" s="125"/>
      <c r="AC632" s="110"/>
    </row>
    <row r="633"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P633" s="124"/>
      <c r="R633" s="125"/>
      <c r="AC633" s="110"/>
    </row>
    <row r="634"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P634" s="124"/>
      <c r="R634" s="125"/>
      <c r="AC634" s="110"/>
    </row>
    <row r="635"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P635" s="124"/>
      <c r="R635" s="125"/>
      <c r="AC635" s="110"/>
    </row>
    <row r="636"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P636" s="124"/>
      <c r="R636" s="125"/>
      <c r="AC636" s="110"/>
    </row>
    <row r="637"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P637" s="124"/>
      <c r="R637" s="125"/>
      <c r="AC637" s="110"/>
    </row>
    <row r="638"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P638" s="124"/>
      <c r="R638" s="125"/>
      <c r="AC638" s="110"/>
    </row>
    <row r="639"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P639" s="124"/>
      <c r="R639" s="125"/>
      <c r="AC639" s="110"/>
    </row>
    <row r="640"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P640" s="124"/>
      <c r="R640" s="125"/>
      <c r="AC640" s="110"/>
    </row>
    <row r="641"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P641" s="124"/>
      <c r="R641" s="125"/>
      <c r="AC641" s="110"/>
    </row>
    <row r="642"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P642" s="124"/>
      <c r="R642" s="125"/>
      <c r="AC642" s="110"/>
    </row>
    <row r="643"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P643" s="124"/>
      <c r="R643" s="125"/>
      <c r="AC643" s="110"/>
    </row>
    <row r="644"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P644" s="124"/>
      <c r="R644" s="125"/>
      <c r="AC644" s="110"/>
    </row>
    <row r="645"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P645" s="124"/>
      <c r="R645" s="125"/>
      <c r="AC645" s="110"/>
    </row>
    <row r="646"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P646" s="124"/>
      <c r="R646" s="125"/>
      <c r="AC646" s="110"/>
    </row>
    <row r="647"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P647" s="124"/>
      <c r="R647" s="125"/>
      <c r="AC647" s="110"/>
    </row>
    <row r="648"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P648" s="124"/>
      <c r="R648" s="125"/>
      <c r="AC648" s="110"/>
    </row>
    <row r="649"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P649" s="124"/>
      <c r="R649" s="125"/>
      <c r="AC649" s="110"/>
    </row>
    <row r="650"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P650" s="124"/>
      <c r="R650" s="125"/>
      <c r="AC650" s="110"/>
    </row>
    <row r="651"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P651" s="124"/>
      <c r="R651" s="125"/>
      <c r="AC651" s="110"/>
    </row>
    <row r="652"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P652" s="124"/>
      <c r="R652" s="125"/>
      <c r="AC652" s="110"/>
    </row>
    <row r="653"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P653" s="124"/>
      <c r="R653" s="125"/>
      <c r="AC653" s="110"/>
    </row>
    <row r="654"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P654" s="124"/>
      <c r="R654" s="125"/>
      <c r="AC654" s="110"/>
    </row>
    <row r="655"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P655" s="124"/>
      <c r="R655" s="125"/>
      <c r="AC655" s="110"/>
    </row>
    <row r="656"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P656" s="124"/>
      <c r="R656" s="125"/>
      <c r="AC656" s="110"/>
    </row>
    <row r="657"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P657" s="124"/>
      <c r="R657" s="125"/>
      <c r="AC657" s="110"/>
    </row>
    <row r="658"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P658" s="124"/>
      <c r="R658" s="125"/>
      <c r="AC658" s="110"/>
    </row>
    <row r="659"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P659" s="124"/>
      <c r="R659" s="125"/>
      <c r="AC659" s="110"/>
    </row>
    <row r="660"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P660" s="124"/>
      <c r="R660" s="125"/>
      <c r="AC660" s="110"/>
    </row>
    <row r="661"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P661" s="124"/>
      <c r="R661" s="125"/>
      <c r="AC661" s="110"/>
    </row>
    <row r="662"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P662" s="124"/>
      <c r="R662" s="125"/>
      <c r="AC662" s="110"/>
    </row>
    <row r="663"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P663" s="124"/>
      <c r="R663" s="125"/>
      <c r="AC663" s="110"/>
    </row>
    <row r="664"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P664" s="124"/>
      <c r="R664" s="125"/>
      <c r="AC664" s="110"/>
    </row>
    <row r="665"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P665" s="124"/>
      <c r="R665" s="125"/>
      <c r="AC665" s="110"/>
    </row>
    <row r="666"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P666" s="124"/>
      <c r="R666" s="125"/>
      <c r="AC666" s="110"/>
    </row>
    <row r="667"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P667" s="124"/>
      <c r="R667" s="125"/>
      <c r="AC667" s="110"/>
    </row>
    <row r="668"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P668" s="124"/>
      <c r="R668" s="125"/>
      <c r="AC668" s="110"/>
    </row>
    <row r="669"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P669" s="124"/>
      <c r="R669" s="125"/>
      <c r="AC669" s="110"/>
    </row>
    <row r="670"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P670" s="124"/>
      <c r="R670" s="125"/>
      <c r="AC670" s="110"/>
    </row>
    <row r="671"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P671" s="124"/>
      <c r="R671" s="125"/>
      <c r="AC671" s="110"/>
    </row>
    <row r="672"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P672" s="124"/>
      <c r="R672" s="125"/>
      <c r="AC672" s="110"/>
    </row>
    <row r="673"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P673" s="124"/>
      <c r="R673" s="125"/>
      <c r="AC673" s="110"/>
    </row>
    <row r="674"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P674" s="124"/>
      <c r="R674" s="125"/>
      <c r="AC674" s="110"/>
    </row>
    <row r="675"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P675" s="124"/>
      <c r="R675" s="125"/>
      <c r="AC675" s="110"/>
    </row>
    <row r="676"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P676" s="124"/>
      <c r="R676" s="125"/>
      <c r="AC676" s="110"/>
    </row>
    <row r="677"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P677" s="124"/>
      <c r="R677" s="125"/>
      <c r="AC677" s="110"/>
    </row>
    <row r="678"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P678" s="124"/>
      <c r="R678" s="125"/>
      <c r="AC678" s="110"/>
    </row>
    <row r="679"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P679" s="124"/>
      <c r="R679" s="125"/>
      <c r="AC679" s="110"/>
    </row>
    <row r="680"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P680" s="124"/>
      <c r="R680" s="125"/>
      <c r="AC680" s="110"/>
    </row>
    <row r="681"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P681" s="124"/>
      <c r="R681" s="125"/>
      <c r="AC681" s="110"/>
    </row>
    <row r="682"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P682" s="124"/>
      <c r="R682" s="125"/>
      <c r="AC682" s="110"/>
    </row>
    <row r="683"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P683" s="124"/>
      <c r="R683" s="125"/>
      <c r="AC683" s="110"/>
    </row>
    <row r="684"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P684" s="124"/>
      <c r="R684" s="125"/>
      <c r="AC684" s="110"/>
    </row>
    <row r="685"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P685" s="124"/>
      <c r="R685" s="125"/>
      <c r="AC685" s="110"/>
    </row>
    <row r="686"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P686" s="124"/>
      <c r="R686" s="125"/>
      <c r="AC686" s="110"/>
    </row>
    <row r="687"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P687" s="124"/>
      <c r="R687" s="125"/>
      <c r="AC687" s="110"/>
    </row>
    <row r="688"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P688" s="124"/>
      <c r="R688" s="125"/>
      <c r="AC688" s="110"/>
    </row>
    <row r="689"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P689" s="124"/>
      <c r="R689" s="125"/>
      <c r="AC689" s="110"/>
    </row>
    <row r="690"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P690" s="124"/>
      <c r="R690" s="125"/>
      <c r="AC690" s="110"/>
    </row>
    <row r="691"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P691" s="124"/>
      <c r="R691" s="125"/>
      <c r="AC691" s="110"/>
    </row>
    <row r="692"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P692" s="124"/>
      <c r="R692" s="125"/>
      <c r="AC692" s="110"/>
    </row>
    <row r="693"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P693" s="124"/>
      <c r="R693" s="125"/>
      <c r="AC693" s="110"/>
    </row>
    <row r="694"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P694" s="124"/>
      <c r="R694" s="125"/>
      <c r="AC694" s="110"/>
    </row>
    <row r="695"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P695" s="124"/>
      <c r="R695" s="125"/>
      <c r="AC695" s="110"/>
    </row>
    <row r="696"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P696" s="124"/>
      <c r="R696" s="125"/>
      <c r="AC696" s="110"/>
    </row>
    <row r="697"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P697" s="124"/>
      <c r="R697" s="125"/>
      <c r="AC697" s="110"/>
    </row>
    <row r="698"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P698" s="124"/>
      <c r="R698" s="125"/>
      <c r="AC698" s="110"/>
    </row>
    <row r="699"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P699" s="124"/>
      <c r="R699" s="125"/>
      <c r="AC699" s="110"/>
    </row>
    <row r="700"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P700" s="124"/>
      <c r="R700" s="125"/>
      <c r="AC700" s="110"/>
    </row>
    <row r="701"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P701" s="124"/>
      <c r="R701" s="125"/>
      <c r="AC701" s="110"/>
    </row>
    <row r="702"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P702" s="124"/>
      <c r="R702" s="125"/>
      <c r="AC702" s="110"/>
    </row>
    <row r="703"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P703" s="124"/>
      <c r="R703" s="125"/>
      <c r="AC703" s="110"/>
    </row>
    <row r="704"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P704" s="124"/>
      <c r="R704" s="125"/>
      <c r="AC704" s="110"/>
    </row>
    <row r="705"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P705" s="124"/>
      <c r="R705" s="125"/>
      <c r="AC705" s="110"/>
    </row>
    <row r="706"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P706" s="124"/>
      <c r="R706" s="125"/>
      <c r="AC706" s="110"/>
    </row>
    <row r="707"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P707" s="124"/>
      <c r="R707" s="125"/>
      <c r="AC707" s="110"/>
    </row>
    <row r="708"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P708" s="124"/>
      <c r="R708" s="125"/>
      <c r="AC708" s="110"/>
    </row>
    <row r="709"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P709" s="124"/>
      <c r="R709" s="125"/>
      <c r="AC709" s="110"/>
    </row>
    <row r="710"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P710" s="124"/>
      <c r="R710" s="125"/>
      <c r="AC710" s="110"/>
    </row>
    <row r="711"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P711" s="124"/>
      <c r="R711" s="125"/>
      <c r="AC711" s="110"/>
    </row>
    <row r="712"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P712" s="124"/>
      <c r="R712" s="125"/>
      <c r="AC712" s="110"/>
    </row>
    <row r="713"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P713" s="124"/>
      <c r="R713" s="125"/>
      <c r="AC713" s="110"/>
    </row>
    <row r="714"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P714" s="124"/>
      <c r="R714" s="125"/>
      <c r="AC714" s="110"/>
    </row>
    <row r="715"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P715" s="124"/>
      <c r="R715" s="125"/>
      <c r="AC715" s="110"/>
    </row>
    <row r="716"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P716" s="124"/>
      <c r="R716" s="125"/>
      <c r="AC716" s="110"/>
    </row>
    <row r="717"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P717" s="124"/>
      <c r="R717" s="125"/>
      <c r="AC717" s="110"/>
    </row>
    <row r="718"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P718" s="124"/>
      <c r="R718" s="125"/>
      <c r="AC718" s="110"/>
    </row>
    <row r="719"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P719" s="124"/>
      <c r="R719" s="125"/>
      <c r="AC719" s="110"/>
    </row>
    <row r="720"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P720" s="124"/>
      <c r="R720" s="125"/>
      <c r="AC720" s="110"/>
    </row>
    <row r="721"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P721" s="124"/>
      <c r="R721" s="125"/>
      <c r="AC721" s="110"/>
    </row>
    <row r="722"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P722" s="124"/>
      <c r="R722" s="125"/>
      <c r="AC722" s="110"/>
    </row>
    <row r="723"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P723" s="124"/>
      <c r="R723" s="125"/>
      <c r="AC723" s="110"/>
    </row>
    <row r="724"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P724" s="124"/>
      <c r="R724" s="125"/>
      <c r="AC724" s="110"/>
    </row>
    <row r="725"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P725" s="124"/>
      <c r="R725" s="125"/>
      <c r="AC725" s="110"/>
    </row>
    <row r="726"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P726" s="124"/>
      <c r="R726" s="125"/>
      <c r="AC726" s="110"/>
    </row>
    <row r="727"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P727" s="124"/>
      <c r="R727" s="125"/>
      <c r="AC727" s="110"/>
    </row>
    <row r="728"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P728" s="124"/>
      <c r="R728" s="125"/>
      <c r="AC728" s="110"/>
    </row>
    <row r="729"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P729" s="124"/>
      <c r="R729" s="125"/>
      <c r="AC729" s="110"/>
    </row>
    <row r="730"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P730" s="124"/>
      <c r="R730" s="125"/>
      <c r="AC730" s="110"/>
    </row>
    <row r="731"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P731" s="124"/>
      <c r="R731" s="125"/>
      <c r="AC731" s="110"/>
    </row>
    <row r="732"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P732" s="124"/>
      <c r="R732" s="125"/>
      <c r="AC732" s="110"/>
    </row>
    <row r="733"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P733" s="124"/>
      <c r="R733" s="125"/>
      <c r="AC733" s="110"/>
    </row>
    <row r="734"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P734" s="124"/>
      <c r="R734" s="125"/>
      <c r="AC734" s="110"/>
    </row>
    <row r="735"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P735" s="124"/>
      <c r="R735" s="125"/>
      <c r="AC735" s="110"/>
    </row>
    <row r="736"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P736" s="124"/>
      <c r="R736" s="125"/>
      <c r="AC736" s="110"/>
    </row>
    <row r="737"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P737" s="124"/>
      <c r="R737" s="125"/>
      <c r="AC737" s="110"/>
    </row>
    <row r="738"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P738" s="124"/>
      <c r="R738" s="125"/>
      <c r="AC738" s="110"/>
    </row>
    <row r="739"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P739" s="124"/>
      <c r="R739" s="125"/>
      <c r="AC739" s="110"/>
    </row>
    <row r="740"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P740" s="124"/>
      <c r="R740" s="125"/>
      <c r="AC740" s="110"/>
    </row>
    <row r="741"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P741" s="124"/>
      <c r="R741" s="125"/>
      <c r="AC741" s="110"/>
    </row>
    <row r="742"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P742" s="124"/>
      <c r="R742" s="125"/>
      <c r="AC742" s="110"/>
    </row>
    <row r="743"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P743" s="124"/>
      <c r="R743" s="125"/>
      <c r="AC743" s="110"/>
    </row>
    <row r="744"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P744" s="124"/>
      <c r="R744" s="125"/>
      <c r="AC744" s="110"/>
    </row>
    <row r="745"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P745" s="124"/>
      <c r="R745" s="125"/>
      <c r="AC745" s="110"/>
    </row>
    <row r="746"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P746" s="124"/>
      <c r="R746" s="125"/>
      <c r="AC746" s="110"/>
    </row>
    <row r="747"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P747" s="124"/>
      <c r="R747" s="125"/>
      <c r="AC747" s="110"/>
    </row>
    <row r="748"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P748" s="124"/>
      <c r="R748" s="125"/>
      <c r="AC748" s="110"/>
    </row>
    <row r="749"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P749" s="124"/>
      <c r="R749" s="125"/>
      <c r="AC749" s="110"/>
    </row>
    <row r="750"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P750" s="124"/>
      <c r="R750" s="125"/>
      <c r="AC750" s="110"/>
    </row>
    <row r="751"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P751" s="124"/>
      <c r="R751" s="125"/>
      <c r="AC751" s="110"/>
    </row>
    <row r="752"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P752" s="124"/>
      <c r="R752" s="125"/>
      <c r="AC752" s="110"/>
    </row>
    <row r="753"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P753" s="124"/>
      <c r="R753" s="125"/>
      <c r="AC753" s="110"/>
    </row>
    <row r="754"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P754" s="124"/>
      <c r="R754" s="125"/>
      <c r="AC754" s="110"/>
    </row>
    <row r="755"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P755" s="124"/>
      <c r="R755" s="125"/>
      <c r="AC755" s="110"/>
    </row>
    <row r="756"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P756" s="124"/>
      <c r="R756" s="125"/>
      <c r="AC756" s="110"/>
    </row>
    <row r="757"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P757" s="124"/>
      <c r="R757" s="125"/>
      <c r="AC757" s="110"/>
    </row>
    <row r="758"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P758" s="124"/>
      <c r="R758" s="125"/>
      <c r="AC758" s="110"/>
    </row>
    <row r="759"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P759" s="124"/>
      <c r="R759" s="125"/>
      <c r="AC759" s="110"/>
    </row>
    <row r="760"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P760" s="124"/>
      <c r="R760" s="125"/>
      <c r="AC760" s="110"/>
    </row>
    <row r="761"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P761" s="124"/>
      <c r="R761" s="125"/>
      <c r="AC761" s="110"/>
    </row>
    <row r="762"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P762" s="124"/>
      <c r="R762" s="125"/>
      <c r="AC762" s="110"/>
    </row>
    <row r="763"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P763" s="124"/>
      <c r="R763" s="125"/>
      <c r="AC763" s="110"/>
    </row>
    <row r="764"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P764" s="124"/>
      <c r="R764" s="125"/>
      <c r="AC764" s="110"/>
    </row>
    <row r="765"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P765" s="124"/>
      <c r="R765" s="125"/>
      <c r="AC765" s="110"/>
    </row>
    <row r="766"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P766" s="124"/>
      <c r="R766" s="125"/>
      <c r="AC766" s="110"/>
    </row>
    <row r="767"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P767" s="124"/>
      <c r="R767" s="125"/>
      <c r="AC767" s="110"/>
    </row>
    <row r="768"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P768" s="124"/>
      <c r="R768" s="125"/>
      <c r="AC768" s="110"/>
    </row>
    <row r="769"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P769" s="124"/>
      <c r="R769" s="125"/>
      <c r="AC769" s="110"/>
    </row>
    <row r="770"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P770" s="124"/>
      <c r="R770" s="125"/>
      <c r="AC770" s="110"/>
    </row>
    <row r="771"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P771" s="124"/>
      <c r="R771" s="125"/>
      <c r="AC771" s="110"/>
    </row>
    <row r="772"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P772" s="124"/>
      <c r="R772" s="125"/>
      <c r="AC772" s="110"/>
    </row>
    <row r="773"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P773" s="124"/>
      <c r="R773" s="125"/>
      <c r="AC773" s="110"/>
    </row>
    <row r="774"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P774" s="124"/>
      <c r="R774" s="125"/>
      <c r="AC774" s="110"/>
    </row>
    <row r="775"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P775" s="124"/>
      <c r="R775" s="125"/>
      <c r="AC775" s="110"/>
    </row>
    <row r="776"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P776" s="124"/>
      <c r="R776" s="125"/>
      <c r="AC776" s="110"/>
    </row>
    <row r="777"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P777" s="124"/>
      <c r="R777" s="125"/>
      <c r="AC777" s="110"/>
    </row>
    <row r="778"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P778" s="124"/>
      <c r="R778" s="125"/>
      <c r="AC778" s="110"/>
    </row>
    <row r="779"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P779" s="124"/>
      <c r="R779" s="125"/>
      <c r="AC779" s="110"/>
    </row>
    <row r="780"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P780" s="124"/>
      <c r="R780" s="125"/>
      <c r="AC780" s="110"/>
    </row>
    <row r="781"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P781" s="124"/>
      <c r="R781" s="125"/>
      <c r="AC781" s="110"/>
    </row>
    <row r="782"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P782" s="124"/>
      <c r="R782" s="125"/>
      <c r="AC782" s="110"/>
    </row>
    <row r="783"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P783" s="124"/>
      <c r="R783" s="125"/>
      <c r="AC783" s="110"/>
    </row>
    <row r="784"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P784" s="124"/>
      <c r="R784" s="125"/>
      <c r="AC784" s="110"/>
    </row>
    <row r="785"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P785" s="124"/>
      <c r="R785" s="125"/>
      <c r="AC785" s="110"/>
    </row>
    <row r="786"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P786" s="124"/>
      <c r="R786" s="125"/>
      <c r="AC786" s="110"/>
    </row>
    <row r="787"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P787" s="124"/>
      <c r="R787" s="125"/>
      <c r="AC787" s="110"/>
    </row>
    <row r="788"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P788" s="124"/>
      <c r="R788" s="125"/>
      <c r="AC788" s="110"/>
    </row>
    <row r="789"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P789" s="124"/>
      <c r="R789" s="125"/>
      <c r="AC789" s="110"/>
    </row>
    <row r="790"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P790" s="124"/>
      <c r="R790" s="125"/>
      <c r="AC790" s="110"/>
    </row>
    <row r="791"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P791" s="124"/>
      <c r="R791" s="125"/>
      <c r="AC791" s="110"/>
    </row>
    <row r="792"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P792" s="124"/>
      <c r="R792" s="125"/>
      <c r="AC792" s="110"/>
    </row>
    <row r="793"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P793" s="124"/>
      <c r="R793" s="125"/>
      <c r="AC793" s="110"/>
    </row>
    <row r="794"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P794" s="124"/>
      <c r="R794" s="125"/>
      <c r="AC794" s="110"/>
    </row>
    <row r="795"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P795" s="124"/>
      <c r="R795" s="125"/>
      <c r="AC795" s="110"/>
    </row>
    <row r="796"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P796" s="124"/>
      <c r="R796" s="125"/>
      <c r="AC796" s="110"/>
    </row>
    <row r="797"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P797" s="124"/>
      <c r="R797" s="125"/>
      <c r="AC797" s="110"/>
    </row>
    <row r="798"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P798" s="124"/>
      <c r="R798" s="125"/>
      <c r="AC798" s="110"/>
    </row>
    <row r="799"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P799" s="124"/>
      <c r="R799" s="125"/>
      <c r="AC799" s="110"/>
    </row>
    <row r="800"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P800" s="124"/>
      <c r="R800" s="125"/>
      <c r="AC800" s="110"/>
    </row>
    <row r="801"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P801" s="124"/>
      <c r="R801" s="125"/>
      <c r="AC801" s="110"/>
    </row>
    <row r="802"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P802" s="124"/>
      <c r="R802" s="125"/>
      <c r="AC802" s="110"/>
    </row>
    <row r="803"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P803" s="124"/>
      <c r="R803" s="125"/>
      <c r="AC803" s="110"/>
    </row>
    <row r="804"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P804" s="124"/>
      <c r="R804" s="125"/>
      <c r="AC804" s="110"/>
    </row>
    <row r="805"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P805" s="124"/>
      <c r="R805" s="125"/>
      <c r="AC805" s="110"/>
    </row>
    <row r="806"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P806" s="124"/>
      <c r="R806" s="125"/>
      <c r="AC806" s="110"/>
    </row>
    <row r="807"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P807" s="124"/>
      <c r="R807" s="125"/>
      <c r="AC807" s="110"/>
    </row>
    <row r="808"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P808" s="124"/>
      <c r="R808" s="125"/>
      <c r="AC808" s="110"/>
    </row>
    <row r="809"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P809" s="124"/>
      <c r="R809" s="125"/>
      <c r="AC809" s="110"/>
    </row>
    <row r="810"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P810" s="124"/>
      <c r="R810" s="125"/>
      <c r="AC810" s="110"/>
    </row>
    <row r="811"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P811" s="124"/>
      <c r="R811" s="125"/>
      <c r="AC811" s="110"/>
    </row>
    <row r="812"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P812" s="124"/>
      <c r="R812" s="125"/>
      <c r="AC812" s="110"/>
    </row>
    <row r="813"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P813" s="124"/>
      <c r="R813" s="125"/>
      <c r="AC813" s="110"/>
    </row>
    <row r="814"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P814" s="124"/>
      <c r="R814" s="125"/>
      <c r="AC814" s="110"/>
    </row>
    <row r="815"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P815" s="124"/>
      <c r="R815" s="125"/>
      <c r="AC815" s="110"/>
    </row>
    <row r="816"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P816" s="124"/>
      <c r="R816" s="125"/>
      <c r="AC816" s="110"/>
    </row>
    <row r="817"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P817" s="124"/>
      <c r="R817" s="125"/>
      <c r="AC817" s="110"/>
    </row>
    <row r="818"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P818" s="124"/>
      <c r="R818" s="125"/>
      <c r="AC818" s="110"/>
    </row>
    <row r="819"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P819" s="124"/>
      <c r="R819" s="125"/>
      <c r="AC819" s="110"/>
    </row>
    <row r="820"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P820" s="124"/>
      <c r="R820" s="125"/>
      <c r="AC820" s="110"/>
    </row>
    <row r="821"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P821" s="124"/>
      <c r="R821" s="125"/>
      <c r="AC821" s="110"/>
    </row>
    <row r="822"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P822" s="124"/>
      <c r="R822" s="125"/>
      <c r="AC822" s="110"/>
    </row>
    <row r="823"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P823" s="124"/>
      <c r="R823" s="125"/>
      <c r="AC823" s="110"/>
    </row>
    <row r="824"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P824" s="124"/>
      <c r="R824" s="125"/>
      <c r="AC824" s="110"/>
    </row>
    <row r="825"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P825" s="124"/>
      <c r="R825" s="125"/>
      <c r="AC825" s="110"/>
    </row>
    <row r="826"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P826" s="124"/>
      <c r="R826" s="125"/>
      <c r="AC826" s="110"/>
    </row>
    <row r="827"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P827" s="124"/>
      <c r="R827" s="125"/>
      <c r="AC827" s="110"/>
    </row>
    <row r="828"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P828" s="124"/>
      <c r="R828" s="125"/>
      <c r="AC828" s="110"/>
    </row>
    <row r="829"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P829" s="124"/>
      <c r="R829" s="125"/>
      <c r="AC829" s="110"/>
    </row>
    <row r="830"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P830" s="124"/>
      <c r="R830" s="125"/>
      <c r="AC830" s="110"/>
    </row>
    <row r="831"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P831" s="124"/>
      <c r="R831" s="125"/>
      <c r="AC831" s="110"/>
    </row>
    <row r="832"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P832" s="124"/>
      <c r="R832" s="125"/>
      <c r="AC832" s="110"/>
    </row>
    <row r="833"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P833" s="124"/>
      <c r="R833" s="125"/>
      <c r="AC833" s="110"/>
    </row>
    <row r="834"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P834" s="124"/>
      <c r="R834" s="125"/>
      <c r="AC834" s="110"/>
    </row>
    <row r="835"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P835" s="124"/>
      <c r="R835" s="125"/>
      <c r="AC835" s="110"/>
    </row>
    <row r="836"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P836" s="124"/>
      <c r="R836" s="125"/>
      <c r="AC836" s="110"/>
    </row>
    <row r="837"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P837" s="124"/>
      <c r="R837" s="125"/>
      <c r="AC837" s="110"/>
    </row>
    <row r="838"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P838" s="124"/>
      <c r="R838" s="125"/>
      <c r="AC838" s="110"/>
    </row>
    <row r="839"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P839" s="124"/>
      <c r="R839" s="125"/>
      <c r="AC839" s="110"/>
    </row>
    <row r="840"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P840" s="124"/>
      <c r="R840" s="125"/>
      <c r="AC840" s="110"/>
    </row>
    <row r="841"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P841" s="124"/>
      <c r="R841" s="125"/>
      <c r="AC841" s="110"/>
    </row>
    <row r="842"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P842" s="124"/>
      <c r="R842" s="125"/>
      <c r="AC842" s="110"/>
    </row>
    <row r="843"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P843" s="124"/>
      <c r="R843" s="125"/>
      <c r="AC843" s="110"/>
    </row>
    <row r="844"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P844" s="124"/>
      <c r="R844" s="125"/>
      <c r="AC844" s="110"/>
    </row>
    <row r="845"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P845" s="124"/>
      <c r="R845" s="125"/>
      <c r="AC845" s="110"/>
    </row>
    <row r="846"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P846" s="124"/>
      <c r="R846" s="125"/>
      <c r="AC846" s="110"/>
    </row>
    <row r="847"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P847" s="124"/>
      <c r="R847" s="125"/>
      <c r="AC847" s="110"/>
    </row>
    <row r="848"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P848" s="124"/>
      <c r="R848" s="125"/>
      <c r="AC848" s="110"/>
    </row>
    <row r="849"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P849" s="124"/>
      <c r="R849" s="125"/>
      <c r="AC849" s="110"/>
    </row>
    <row r="850"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P850" s="124"/>
      <c r="R850" s="125"/>
      <c r="AC850" s="110"/>
    </row>
    <row r="851"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P851" s="124"/>
      <c r="R851" s="125"/>
      <c r="AC851" s="110"/>
    </row>
    <row r="852"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P852" s="124"/>
      <c r="R852" s="125"/>
      <c r="AC852" s="110"/>
    </row>
    <row r="853"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P853" s="124"/>
      <c r="R853" s="125"/>
      <c r="AC853" s="110"/>
    </row>
    <row r="854"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P854" s="124"/>
      <c r="R854" s="125"/>
      <c r="AC854" s="110"/>
    </row>
    <row r="855"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P855" s="124"/>
      <c r="R855" s="125"/>
      <c r="AC855" s="110"/>
    </row>
    <row r="856"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P856" s="124"/>
      <c r="R856" s="125"/>
      <c r="AC856" s="110"/>
    </row>
    <row r="857"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P857" s="124"/>
      <c r="R857" s="125"/>
      <c r="AC857" s="110"/>
    </row>
    <row r="858"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P858" s="124"/>
      <c r="R858" s="125"/>
      <c r="AC858" s="110"/>
    </row>
    <row r="859"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P859" s="124"/>
      <c r="R859" s="125"/>
      <c r="AC859" s="110"/>
    </row>
    <row r="860"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P860" s="124"/>
      <c r="R860" s="125"/>
      <c r="AC860" s="110"/>
    </row>
    <row r="861"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P861" s="124"/>
      <c r="R861" s="125"/>
      <c r="AC861" s="110"/>
    </row>
    <row r="862"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P862" s="124"/>
      <c r="R862" s="125"/>
      <c r="AC862" s="110"/>
    </row>
    <row r="863"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P863" s="124"/>
      <c r="R863" s="125"/>
      <c r="AC863" s="110"/>
    </row>
    <row r="864"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P864" s="124"/>
      <c r="R864" s="125"/>
      <c r="AC864" s="110"/>
    </row>
    <row r="865"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P865" s="124"/>
      <c r="R865" s="125"/>
      <c r="AC865" s="110"/>
    </row>
    <row r="866"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P866" s="124"/>
      <c r="R866" s="125"/>
      <c r="AC866" s="110"/>
    </row>
    <row r="867"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P867" s="124"/>
      <c r="R867" s="125"/>
      <c r="AC867" s="110"/>
    </row>
    <row r="868"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P868" s="124"/>
      <c r="R868" s="125"/>
      <c r="AC868" s="110"/>
    </row>
    <row r="869"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P869" s="124"/>
      <c r="R869" s="125"/>
      <c r="AC869" s="110"/>
    </row>
    <row r="870"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P870" s="124"/>
      <c r="R870" s="125"/>
      <c r="AC870" s="110"/>
    </row>
    <row r="871"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P871" s="124"/>
      <c r="R871" s="125"/>
      <c r="AC871" s="110"/>
    </row>
    <row r="872"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P872" s="124"/>
      <c r="R872" s="125"/>
      <c r="AC872" s="110"/>
    </row>
    <row r="873"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P873" s="124"/>
      <c r="R873" s="125"/>
      <c r="AC873" s="110"/>
    </row>
    <row r="874"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P874" s="124"/>
      <c r="R874" s="125"/>
      <c r="AC874" s="110"/>
    </row>
    <row r="875"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P875" s="124"/>
      <c r="R875" s="125"/>
      <c r="AC875" s="110"/>
    </row>
    <row r="876"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P876" s="124"/>
      <c r="R876" s="125"/>
      <c r="AC876" s="110"/>
    </row>
    <row r="877"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P877" s="124"/>
      <c r="R877" s="125"/>
      <c r="AC877" s="110"/>
    </row>
    <row r="878"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P878" s="124"/>
      <c r="R878" s="125"/>
      <c r="AC878" s="110"/>
    </row>
    <row r="879"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P879" s="124"/>
      <c r="R879" s="125"/>
      <c r="AC879" s="110"/>
    </row>
    <row r="880"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P880" s="124"/>
      <c r="R880" s="125"/>
      <c r="AC880" s="110"/>
    </row>
    <row r="881"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P881" s="124"/>
      <c r="R881" s="125"/>
      <c r="AC881" s="110"/>
    </row>
    <row r="882"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P882" s="124"/>
      <c r="R882" s="125"/>
      <c r="AC882" s="110"/>
    </row>
    <row r="883"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P883" s="124"/>
      <c r="R883" s="125"/>
      <c r="AC883" s="110"/>
    </row>
    <row r="884"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P884" s="124"/>
      <c r="R884" s="125"/>
      <c r="AC884" s="110"/>
    </row>
    <row r="885"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P885" s="124"/>
      <c r="R885" s="125"/>
      <c r="AC885" s="110"/>
    </row>
    <row r="886"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P886" s="124"/>
      <c r="R886" s="125"/>
      <c r="AC886" s="110"/>
    </row>
    <row r="887"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P887" s="124"/>
      <c r="R887" s="125"/>
      <c r="AC887" s="110"/>
    </row>
    <row r="888"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P888" s="124"/>
      <c r="R888" s="125"/>
      <c r="AC888" s="110"/>
    </row>
    <row r="889"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P889" s="124"/>
      <c r="R889" s="125"/>
      <c r="AC889" s="110"/>
    </row>
    <row r="890"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P890" s="124"/>
      <c r="R890" s="125"/>
      <c r="AC890" s="110"/>
    </row>
    <row r="891"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P891" s="124"/>
      <c r="R891" s="125"/>
      <c r="AC891" s="110"/>
    </row>
    <row r="892"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P892" s="124"/>
      <c r="R892" s="125"/>
      <c r="AC892" s="110"/>
    </row>
    <row r="893"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P893" s="124"/>
      <c r="R893" s="125"/>
      <c r="AC893" s="110"/>
    </row>
    <row r="894"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P894" s="124"/>
      <c r="R894" s="125"/>
      <c r="AC894" s="110"/>
    </row>
    <row r="895"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P895" s="124"/>
      <c r="R895" s="125"/>
      <c r="AC895" s="110"/>
    </row>
    <row r="896"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P896" s="124"/>
      <c r="R896" s="125"/>
      <c r="AC896" s="110"/>
    </row>
    <row r="897"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P897" s="124"/>
      <c r="R897" s="125"/>
      <c r="AC897" s="110"/>
    </row>
    <row r="898"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P898" s="124"/>
      <c r="R898" s="125"/>
      <c r="AC898" s="110"/>
    </row>
    <row r="899"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P899" s="124"/>
      <c r="R899" s="125"/>
      <c r="AC899" s="110"/>
    </row>
    <row r="900"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P900" s="124"/>
      <c r="R900" s="125"/>
      <c r="AC900" s="110"/>
    </row>
    <row r="901"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P901" s="124"/>
      <c r="R901" s="125"/>
      <c r="AC901" s="110"/>
    </row>
    <row r="902"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P902" s="124"/>
      <c r="R902" s="125"/>
      <c r="AC902" s="110"/>
    </row>
    <row r="903"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P903" s="124"/>
      <c r="R903" s="125"/>
      <c r="AC903" s="110"/>
    </row>
    <row r="904"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P904" s="124"/>
      <c r="R904" s="125"/>
      <c r="AC904" s="110"/>
    </row>
    <row r="905"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P905" s="124"/>
      <c r="R905" s="125"/>
      <c r="AC905" s="110"/>
    </row>
    <row r="906"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P906" s="124"/>
      <c r="R906" s="125"/>
      <c r="AC906" s="110"/>
    </row>
    <row r="907"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P907" s="124"/>
      <c r="R907" s="125"/>
      <c r="AC907" s="110"/>
    </row>
    <row r="908"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P908" s="124"/>
      <c r="R908" s="125"/>
      <c r="AC908" s="110"/>
    </row>
    <row r="909"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P909" s="124"/>
      <c r="R909" s="125"/>
      <c r="AC909" s="110"/>
    </row>
    <row r="910"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P910" s="124"/>
      <c r="R910" s="125"/>
      <c r="AC910" s="110"/>
    </row>
    <row r="911"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P911" s="124"/>
      <c r="R911" s="125"/>
      <c r="AC911" s="110"/>
    </row>
    <row r="912"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P912" s="124"/>
      <c r="R912" s="125"/>
      <c r="AC912" s="110"/>
    </row>
    <row r="913"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P913" s="124"/>
      <c r="R913" s="125"/>
      <c r="AC913" s="110"/>
    </row>
    <row r="914"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P914" s="124"/>
      <c r="R914" s="125"/>
      <c r="AC914" s="110"/>
    </row>
    <row r="915"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P915" s="124"/>
      <c r="R915" s="125"/>
      <c r="AC915" s="110"/>
    </row>
    <row r="916"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P916" s="124"/>
      <c r="R916" s="125"/>
      <c r="AC916" s="110"/>
    </row>
    <row r="917"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P917" s="124"/>
      <c r="R917" s="125"/>
      <c r="AC917" s="110"/>
    </row>
    <row r="918"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P918" s="124"/>
      <c r="R918" s="125"/>
      <c r="AC918" s="110"/>
    </row>
    <row r="919"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P919" s="124"/>
      <c r="R919" s="125"/>
      <c r="AC919" s="110"/>
    </row>
    <row r="920"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P920" s="124"/>
      <c r="R920" s="125"/>
      <c r="AC920" s="110"/>
    </row>
    <row r="921"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P921" s="124"/>
      <c r="R921" s="125"/>
      <c r="AC921" s="110"/>
    </row>
    <row r="922"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P922" s="124"/>
      <c r="R922" s="125"/>
      <c r="AC922" s="110"/>
    </row>
    <row r="923"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P923" s="124"/>
      <c r="R923" s="125"/>
      <c r="AC923" s="110"/>
    </row>
    <row r="924"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P924" s="124"/>
      <c r="R924" s="125"/>
      <c r="AC924" s="110"/>
    </row>
    <row r="925"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P925" s="124"/>
      <c r="R925" s="125"/>
      <c r="AC925" s="110"/>
    </row>
    <row r="926"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P926" s="124"/>
      <c r="R926" s="125"/>
      <c r="AC926" s="110"/>
    </row>
    <row r="927"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P927" s="124"/>
      <c r="R927" s="125"/>
      <c r="AC927" s="110"/>
    </row>
    <row r="928"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P928" s="124"/>
      <c r="R928" s="125"/>
      <c r="AC928" s="110"/>
    </row>
    <row r="929"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P929" s="124"/>
      <c r="R929" s="125"/>
      <c r="AC929" s="110"/>
    </row>
    <row r="930"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P930" s="124"/>
      <c r="R930" s="125"/>
      <c r="AC930" s="110"/>
    </row>
    <row r="931"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P931" s="124"/>
      <c r="R931" s="125"/>
      <c r="AC931" s="110"/>
    </row>
    <row r="932"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P932" s="124"/>
      <c r="R932" s="125"/>
      <c r="AC932" s="110"/>
    </row>
    <row r="933"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P933" s="124"/>
      <c r="R933" s="125"/>
      <c r="AC933" s="110"/>
    </row>
    <row r="934"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P934" s="124"/>
      <c r="R934" s="125"/>
      <c r="AC934" s="110"/>
    </row>
    <row r="935"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P935" s="124"/>
      <c r="R935" s="125"/>
      <c r="AC935" s="110"/>
    </row>
    <row r="936"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P936" s="124"/>
      <c r="R936" s="125"/>
      <c r="AC936" s="110"/>
    </row>
    <row r="937"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P937" s="124"/>
      <c r="R937" s="125"/>
      <c r="AC937" s="110"/>
    </row>
    <row r="938"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P938" s="124"/>
      <c r="R938" s="125"/>
      <c r="AC938" s="110"/>
    </row>
    <row r="939"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P939" s="124"/>
      <c r="R939" s="125"/>
      <c r="AC939" s="110"/>
    </row>
    <row r="940"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P940" s="124"/>
      <c r="R940" s="125"/>
      <c r="AC940" s="110"/>
    </row>
    <row r="941"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P941" s="124"/>
      <c r="R941" s="125"/>
      <c r="AC941" s="110"/>
    </row>
    <row r="942"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P942" s="124"/>
      <c r="R942" s="125"/>
      <c r="AC942" s="110"/>
    </row>
    <row r="943"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P943" s="124"/>
      <c r="R943" s="125"/>
      <c r="AC943" s="110"/>
    </row>
    <row r="944"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P944" s="124"/>
      <c r="R944" s="125"/>
      <c r="AC944" s="110"/>
    </row>
    <row r="945"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P945" s="124"/>
      <c r="R945" s="125"/>
      <c r="AC945" s="110"/>
    </row>
    <row r="946"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P946" s="124"/>
      <c r="R946" s="125"/>
      <c r="AC946" s="110"/>
    </row>
    <row r="947"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P947" s="124"/>
      <c r="R947" s="125"/>
      <c r="AC947" s="110"/>
    </row>
    <row r="948"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P948" s="124"/>
      <c r="R948" s="125"/>
      <c r="AC948" s="110"/>
    </row>
    <row r="949"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P949" s="124"/>
      <c r="R949" s="125"/>
      <c r="AC949" s="110"/>
    </row>
    <row r="950"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P950" s="124"/>
      <c r="R950" s="125"/>
      <c r="AC950" s="110"/>
    </row>
    <row r="951"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P951" s="124"/>
      <c r="R951" s="125"/>
      <c r="AC951" s="110"/>
    </row>
    <row r="952"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P952" s="124"/>
      <c r="R952" s="125"/>
      <c r="AC952" s="110"/>
    </row>
    <row r="953"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P953" s="124"/>
      <c r="R953" s="125"/>
      <c r="AC953" s="110"/>
    </row>
    <row r="954"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P954" s="124"/>
      <c r="R954" s="125"/>
      <c r="AC954" s="110"/>
    </row>
    <row r="955"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P955" s="124"/>
      <c r="R955" s="125"/>
      <c r="AC955" s="110"/>
    </row>
    <row r="956"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P956" s="124"/>
      <c r="R956" s="125"/>
      <c r="AC956" s="110"/>
    </row>
    <row r="957"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P957" s="124"/>
      <c r="R957" s="125"/>
      <c r="AC957" s="110"/>
    </row>
    <row r="958"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P958" s="124"/>
      <c r="R958" s="125"/>
      <c r="AC958" s="110"/>
    </row>
    <row r="959"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P959" s="124"/>
      <c r="R959" s="125"/>
      <c r="AC959" s="110"/>
    </row>
    <row r="960"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P960" s="124"/>
      <c r="R960" s="125"/>
      <c r="AC960" s="110"/>
    </row>
    <row r="961"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P961" s="124"/>
      <c r="R961" s="125"/>
      <c r="AC961" s="110"/>
    </row>
    <row r="962"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P962" s="124"/>
      <c r="R962" s="125"/>
      <c r="AC962" s="110"/>
    </row>
    <row r="963"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P963" s="124"/>
      <c r="R963" s="125"/>
      <c r="AC963" s="110"/>
    </row>
    <row r="964"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P964" s="124"/>
      <c r="R964" s="125"/>
      <c r="AC964" s="110"/>
    </row>
    <row r="965"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P965" s="124"/>
      <c r="R965" s="125"/>
      <c r="AC965" s="110"/>
    </row>
    <row r="966"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P966" s="124"/>
      <c r="R966" s="125"/>
      <c r="AC966" s="110"/>
    </row>
    <row r="967"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P967" s="124"/>
      <c r="R967" s="125"/>
      <c r="AC967" s="110"/>
    </row>
    <row r="968"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P968" s="124"/>
      <c r="R968" s="125"/>
      <c r="AC968" s="110"/>
    </row>
    <row r="969"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P969" s="124"/>
      <c r="R969" s="125"/>
      <c r="AC969" s="110"/>
    </row>
    <row r="970"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P970" s="124"/>
      <c r="R970" s="125"/>
      <c r="AC970" s="110"/>
    </row>
    <row r="971"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P971" s="124"/>
      <c r="R971" s="125"/>
      <c r="AC971" s="110"/>
    </row>
    <row r="972"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P972" s="124"/>
      <c r="R972" s="125"/>
      <c r="AC972" s="110"/>
    </row>
    <row r="973"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P973" s="124"/>
      <c r="R973" s="125"/>
      <c r="AC973" s="110"/>
    </row>
    <row r="974"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P974" s="124"/>
      <c r="R974" s="125"/>
      <c r="AC974" s="110"/>
    </row>
    <row r="975">
      <c r="C975" s="168"/>
      <c r="D975" s="168"/>
      <c r="E975" s="168"/>
      <c r="F975" s="168"/>
      <c r="G975" s="168"/>
      <c r="H975" s="168"/>
      <c r="I975" s="168"/>
      <c r="J975" s="168"/>
      <c r="K975" s="168"/>
      <c r="L975" s="168"/>
      <c r="P975" s="124"/>
      <c r="R975" s="125"/>
      <c r="AC975" s="110"/>
    </row>
    <row r="976">
      <c r="C976" s="168"/>
      <c r="D976" s="168"/>
      <c r="E976" s="168"/>
      <c r="F976" s="168"/>
      <c r="G976" s="168"/>
      <c r="H976" s="168"/>
      <c r="I976" s="168"/>
      <c r="J976" s="168"/>
      <c r="K976" s="168"/>
      <c r="L976" s="168"/>
      <c r="P976" s="124"/>
      <c r="R976" s="125"/>
      <c r="AC976" s="110"/>
    </row>
    <row r="977">
      <c r="C977" s="168"/>
      <c r="D977" s="168"/>
      <c r="E977" s="168"/>
      <c r="F977" s="168"/>
      <c r="G977" s="168"/>
      <c r="H977" s="168"/>
      <c r="I977" s="168"/>
      <c r="J977" s="168"/>
      <c r="K977" s="168"/>
      <c r="L977" s="168"/>
      <c r="P977" s="124"/>
      <c r="R977" s="125"/>
      <c r="AC977" s="110"/>
    </row>
    <row r="978">
      <c r="C978" s="168"/>
      <c r="D978" s="168"/>
      <c r="E978" s="168"/>
      <c r="F978" s="168"/>
      <c r="G978" s="168"/>
      <c r="H978" s="168"/>
      <c r="I978" s="168"/>
      <c r="J978" s="168"/>
      <c r="K978" s="168"/>
      <c r="L978" s="168"/>
      <c r="P978" s="124"/>
      <c r="R978" s="125"/>
      <c r="AC978" s="110"/>
    </row>
    <row r="979">
      <c r="C979" s="168"/>
      <c r="D979" s="168"/>
      <c r="E979" s="168"/>
      <c r="F979" s="168"/>
      <c r="G979" s="168"/>
      <c r="H979" s="168"/>
      <c r="I979" s="168"/>
      <c r="J979" s="168"/>
      <c r="K979" s="168"/>
      <c r="L979" s="168"/>
      <c r="P979" s="124"/>
      <c r="R979" s="125"/>
      <c r="AC979" s="110"/>
    </row>
    <row r="980">
      <c r="C980" s="168"/>
      <c r="D980" s="168"/>
      <c r="E980" s="168"/>
      <c r="F980" s="168"/>
      <c r="G980" s="168"/>
      <c r="H980" s="168"/>
      <c r="I980" s="168"/>
      <c r="J980" s="168"/>
      <c r="K980" s="168"/>
      <c r="L980" s="168"/>
      <c r="P980" s="124"/>
      <c r="R980" s="125"/>
      <c r="AC980" s="110"/>
    </row>
    <row r="981">
      <c r="C981" s="168"/>
      <c r="D981" s="168"/>
      <c r="E981" s="168"/>
      <c r="F981" s="168"/>
      <c r="G981" s="168"/>
      <c r="H981" s="168"/>
      <c r="I981" s="168"/>
      <c r="J981" s="168"/>
      <c r="K981" s="168"/>
      <c r="L981" s="168"/>
      <c r="P981" s="124"/>
      <c r="R981" s="125"/>
      <c r="AC981" s="110"/>
    </row>
    <row r="982">
      <c r="C982" s="168"/>
      <c r="D982" s="168"/>
      <c r="E982" s="168"/>
      <c r="F982" s="168"/>
      <c r="G982" s="168"/>
      <c r="H982" s="168"/>
      <c r="I982" s="168"/>
      <c r="J982" s="168"/>
      <c r="K982" s="168"/>
      <c r="L982" s="168"/>
      <c r="P982" s="124"/>
      <c r="R982" s="125"/>
      <c r="AC982" s="110"/>
    </row>
    <row r="983">
      <c r="C983" s="168"/>
      <c r="D983" s="168"/>
      <c r="E983" s="168"/>
      <c r="F983" s="168"/>
      <c r="G983" s="168"/>
      <c r="H983" s="168"/>
      <c r="I983" s="168"/>
      <c r="J983" s="168"/>
      <c r="K983" s="168"/>
      <c r="L983" s="168"/>
      <c r="P983" s="124"/>
      <c r="R983" s="125"/>
      <c r="AC983" s="110"/>
    </row>
    <row r="984">
      <c r="C984" s="168"/>
      <c r="D984" s="168"/>
      <c r="E984" s="168"/>
      <c r="F984" s="168"/>
      <c r="G984" s="168"/>
      <c r="H984" s="168"/>
      <c r="I984" s="168"/>
      <c r="J984" s="168"/>
      <c r="K984" s="168"/>
      <c r="L984" s="168"/>
      <c r="P984" s="124"/>
      <c r="R984" s="125"/>
      <c r="AC984" s="110"/>
    </row>
    <row r="985">
      <c r="C985" s="168"/>
      <c r="D985" s="168"/>
      <c r="E985" s="168"/>
      <c r="F985" s="168"/>
      <c r="G985" s="168"/>
      <c r="H985" s="168"/>
      <c r="I985" s="168"/>
      <c r="J985" s="168"/>
      <c r="K985" s="168"/>
      <c r="L985" s="168"/>
      <c r="P985" s="124"/>
      <c r="R985" s="125"/>
      <c r="AC985" s="110"/>
    </row>
    <row r="986">
      <c r="C986" s="168"/>
      <c r="D986" s="168"/>
      <c r="E986" s="168"/>
      <c r="F986" s="168"/>
      <c r="G986" s="168"/>
      <c r="H986" s="168"/>
      <c r="I986" s="168"/>
      <c r="J986" s="168"/>
      <c r="K986" s="168"/>
      <c r="L986" s="168"/>
      <c r="P986" s="124"/>
      <c r="R986" s="125"/>
      <c r="AC986" s="110"/>
    </row>
    <row r="987">
      <c r="C987" s="168"/>
      <c r="D987" s="168"/>
      <c r="E987" s="168"/>
      <c r="F987" s="168"/>
      <c r="G987" s="168"/>
      <c r="H987" s="168"/>
      <c r="I987" s="168"/>
      <c r="J987" s="168"/>
      <c r="K987" s="168"/>
      <c r="L987" s="168"/>
      <c r="P987" s="124"/>
      <c r="R987" s="125"/>
      <c r="AC987" s="110"/>
    </row>
    <row r="988">
      <c r="C988" s="168"/>
      <c r="D988" s="168"/>
      <c r="E988" s="168"/>
      <c r="F988" s="168"/>
      <c r="G988" s="168"/>
      <c r="H988" s="168"/>
      <c r="I988" s="168"/>
      <c r="J988" s="168"/>
      <c r="K988" s="168"/>
      <c r="L988" s="168"/>
      <c r="P988" s="124"/>
      <c r="R988" s="125"/>
      <c r="AC988" s="110"/>
    </row>
    <row r="989">
      <c r="C989" s="168"/>
      <c r="D989" s="168"/>
      <c r="E989" s="168"/>
      <c r="F989" s="168"/>
      <c r="G989" s="168"/>
      <c r="H989" s="168"/>
      <c r="I989" s="168"/>
      <c r="J989" s="168"/>
      <c r="K989" s="168"/>
      <c r="L989" s="168"/>
      <c r="P989" s="124"/>
      <c r="R989" s="125"/>
      <c r="AC989" s="110"/>
    </row>
    <row r="990">
      <c r="C990" s="168"/>
      <c r="D990" s="168"/>
      <c r="E990" s="168"/>
      <c r="F990" s="168"/>
      <c r="G990" s="168"/>
      <c r="H990" s="168"/>
      <c r="I990" s="168"/>
      <c r="J990" s="168"/>
      <c r="K990" s="168"/>
      <c r="L990" s="168"/>
      <c r="P990" s="124"/>
      <c r="R990" s="125"/>
      <c r="AC990" s="110"/>
    </row>
    <row r="991">
      <c r="C991" s="168"/>
      <c r="D991" s="168"/>
      <c r="E991" s="168"/>
      <c r="F991" s="168"/>
      <c r="G991" s="168"/>
      <c r="H991" s="168"/>
      <c r="I991" s="168"/>
      <c r="J991" s="168"/>
      <c r="K991" s="168"/>
      <c r="L991" s="168"/>
      <c r="P991" s="124"/>
      <c r="R991" s="125"/>
      <c r="AC991" s="110"/>
    </row>
    <row r="992">
      <c r="C992" s="168"/>
      <c r="D992" s="168"/>
      <c r="E992" s="168"/>
      <c r="F992" s="168"/>
      <c r="G992" s="168"/>
      <c r="H992" s="168"/>
      <c r="I992" s="168"/>
      <c r="J992" s="168"/>
      <c r="K992" s="168"/>
      <c r="L992" s="168"/>
      <c r="P992" s="124"/>
      <c r="R992" s="125"/>
      <c r="AC992" s="110"/>
    </row>
    <row r="993">
      <c r="C993" s="168"/>
      <c r="D993" s="168"/>
      <c r="E993" s="168"/>
      <c r="F993" s="168"/>
      <c r="G993" s="168"/>
      <c r="H993" s="168"/>
      <c r="I993" s="168"/>
      <c r="J993" s="168"/>
      <c r="K993" s="168"/>
      <c r="L993" s="168"/>
      <c r="P993" s="124"/>
      <c r="R993" s="125"/>
      <c r="AC993" s="110"/>
    </row>
    <row r="994">
      <c r="C994" s="168"/>
      <c r="D994" s="168"/>
      <c r="E994" s="168"/>
      <c r="F994" s="168"/>
      <c r="G994" s="168"/>
      <c r="H994" s="168"/>
      <c r="I994" s="168"/>
      <c r="J994" s="168"/>
      <c r="K994" s="168"/>
      <c r="L994" s="168"/>
      <c r="P994" s="124"/>
      <c r="R994" s="125"/>
      <c r="AC994" s="110"/>
    </row>
    <row r="995">
      <c r="C995" s="168"/>
      <c r="D995" s="168"/>
      <c r="E995" s="168"/>
      <c r="F995" s="168"/>
      <c r="G995" s="168"/>
      <c r="H995" s="168"/>
      <c r="I995" s="168"/>
      <c r="J995" s="168"/>
      <c r="K995" s="168"/>
      <c r="L995" s="168"/>
      <c r="P995" s="124"/>
      <c r="R995" s="125"/>
      <c r="AC995" s="110"/>
    </row>
    <row r="996">
      <c r="C996" s="168"/>
      <c r="D996" s="168"/>
      <c r="E996" s="168"/>
      <c r="F996" s="168"/>
      <c r="G996" s="168"/>
      <c r="H996" s="168"/>
      <c r="I996" s="168"/>
      <c r="J996" s="168"/>
      <c r="K996" s="168"/>
      <c r="L996" s="168"/>
      <c r="P996" s="124"/>
      <c r="R996" s="125"/>
      <c r="AC996" s="110"/>
    </row>
    <row r="997">
      <c r="C997" s="168"/>
      <c r="D997" s="168"/>
      <c r="E997" s="168"/>
      <c r="F997" s="168"/>
      <c r="G997" s="168"/>
      <c r="H997" s="168"/>
      <c r="I997" s="168"/>
      <c r="J997" s="168"/>
      <c r="K997" s="168"/>
      <c r="L997" s="168"/>
      <c r="P997" s="124"/>
      <c r="R997" s="125"/>
      <c r="AC997" s="110"/>
    </row>
    <row r="998">
      <c r="C998" s="168"/>
      <c r="D998" s="168"/>
      <c r="E998" s="168"/>
      <c r="F998" s="168"/>
      <c r="G998" s="168"/>
      <c r="H998" s="168"/>
      <c r="I998" s="168"/>
      <c r="J998" s="168"/>
      <c r="K998" s="168"/>
      <c r="L998" s="168"/>
      <c r="P998" s="124"/>
      <c r="R998" s="125"/>
      <c r="AC998" s="110"/>
    </row>
    <row r="999">
      <c r="C999" s="168"/>
      <c r="D999" s="168"/>
      <c r="E999" s="168"/>
      <c r="F999" s="168"/>
      <c r="G999" s="168"/>
      <c r="H999" s="168"/>
      <c r="I999" s="168"/>
      <c r="J999" s="168"/>
      <c r="K999" s="168"/>
      <c r="L999" s="168"/>
      <c r="P999" s="124"/>
      <c r="R999" s="125"/>
      <c r="AC999" s="110"/>
    </row>
    <row r="1000">
      <c r="C1000" s="168"/>
      <c r="D1000" s="168"/>
      <c r="E1000" s="168"/>
      <c r="F1000" s="168"/>
      <c r="G1000" s="168"/>
      <c r="H1000" s="168"/>
      <c r="I1000" s="168"/>
      <c r="J1000" s="168"/>
      <c r="K1000" s="168"/>
      <c r="L1000" s="168"/>
      <c r="P1000" s="124"/>
      <c r="R1000" s="125"/>
      <c r="AC1000" s="110"/>
    </row>
    <row r="1001">
      <c r="C1001" s="168"/>
      <c r="D1001" s="168"/>
      <c r="E1001" s="168"/>
      <c r="F1001" s="168"/>
      <c r="G1001" s="168"/>
      <c r="H1001" s="168"/>
      <c r="I1001" s="168"/>
      <c r="J1001" s="168"/>
      <c r="K1001" s="168"/>
      <c r="L1001" s="168"/>
      <c r="P1001" s="124"/>
      <c r="R1001" s="125"/>
      <c r="AC1001" s="110"/>
    </row>
    <row r="1002">
      <c r="C1002" s="168"/>
      <c r="D1002" s="168"/>
      <c r="E1002" s="168"/>
      <c r="F1002" s="168"/>
      <c r="G1002" s="168"/>
      <c r="H1002" s="168"/>
      <c r="I1002" s="168"/>
      <c r="J1002" s="168"/>
      <c r="K1002" s="168"/>
      <c r="L1002" s="168"/>
      <c r="P1002" s="124"/>
      <c r="R1002" s="125"/>
      <c r="AC1002" s="110"/>
    </row>
    <row r="1003">
      <c r="C1003" s="168"/>
      <c r="D1003" s="168"/>
      <c r="E1003" s="168"/>
      <c r="F1003" s="168"/>
      <c r="G1003" s="168"/>
      <c r="H1003" s="168"/>
      <c r="I1003" s="168"/>
      <c r="J1003" s="168"/>
      <c r="K1003" s="168"/>
      <c r="L1003" s="168"/>
      <c r="P1003" s="124"/>
      <c r="R1003" s="125"/>
      <c r="AC1003" s="110"/>
    </row>
  </sheetData>
  <mergeCells count="2">
    <mergeCell ref="A1:A2"/>
    <mergeCell ref="B1:B2"/>
  </mergeCells>
  <drawing r:id="rId1"/>
  <tableParts count="2">
    <tablePart r:id="rId4"/>
    <tablePart r:id="rId5"/>
  </tableParts>
</worksheet>
</file>